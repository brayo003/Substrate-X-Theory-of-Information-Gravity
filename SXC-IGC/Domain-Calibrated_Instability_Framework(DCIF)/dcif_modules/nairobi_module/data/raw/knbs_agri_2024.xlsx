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ok\Downloads\2024 Economic Survey\"/>
    </mc:Choice>
  </mc:AlternateContent>
  <bookViews>
    <workbookView xWindow="0" yWindow="0" windowWidth="20490" windowHeight="7800" firstSheet="15" activeTab="21"/>
  </bookViews>
  <sheets>
    <sheet name="Table 7.1" sheetId="1" r:id="rId1"/>
    <sheet name="Table 7.2" sheetId="2" r:id="rId2"/>
    <sheet name="Table 7.3" sheetId="3" r:id="rId3"/>
    <sheet name="Table 7.4" sheetId="4" r:id="rId4"/>
    <sheet name="Table 7.5" sheetId="5" r:id="rId5"/>
    <sheet name="Table 7.6" sheetId="9" r:id="rId6"/>
    <sheet name="Table 7.7" sheetId="10" r:id="rId7"/>
    <sheet name="Table 7.8" sheetId="11" r:id="rId8"/>
    <sheet name="Table 7.9" sheetId="12" r:id="rId9"/>
    <sheet name="Table 7.10" sheetId="28" r:id="rId10"/>
    <sheet name="Table 7.11" sheetId="14" r:id="rId11"/>
    <sheet name="Table 7.12" sheetId="15" r:id="rId12"/>
    <sheet name="Table 7.13" sheetId="16" r:id="rId13"/>
    <sheet name="Table 7.14" sheetId="17" r:id="rId14"/>
    <sheet name="Table 7.15" sheetId="18" r:id="rId15"/>
    <sheet name="Table 7.16" sheetId="19" r:id="rId16"/>
    <sheet name="Table 7.17" sheetId="20" r:id="rId17"/>
    <sheet name="Table 7.18" sheetId="21" r:id="rId18"/>
    <sheet name="Table 7.19" sheetId="22" r:id="rId19"/>
    <sheet name="Table 7.20" sheetId="29" r:id="rId20"/>
    <sheet name="Table 7.21" sheetId="30" r:id="rId21"/>
    <sheet name="Table 7.22" sheetId="23" r:id="rId22"/>
  </sheets>
  <definedNames>
    <definedName name="_MON_1459157629" localSheetId="21">'Table 7.22'!$A$1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2" l="1"/>
  <c r="C24" i="2"/>
  <c r="C19" i="2"/>
  <c r="C14" i="2"/>
  <c r="C9" i="2"/>
  <c r="C25" i="2" l="1"/>
  <c r="C33" i="2" s="1"/>
</calcChain>
</file>

<file path=xl/sharedStrings.xml><?xml version="1.0" encoding="utf-8"?>
<sst xmlns="http://schemas.openxmlformats.org/spreadsheetml/2006/main" count="598" uniqueCount="398">
  <si>
    <t>KSh Million; Base 2016=100</t>
  </si>
  <si>
    <t>PRODUCTION AT  CURRENT PRICES</t>
  </si>
  <si>
    <t>Output at basic prices…………………………………</t>
  </si>
  <si>
    <t>Intermediate consumption……………………….</t>
  </si>
  <si>
    <t>Value added at basic prices, gross……………………</t>
  </si>
  <si>
    <t>PRODUCTION  CONSTANT PRICES</t>
  </si>
  <si>
    <t>Output……………………………………………</t>
  </si>
  <si>
    <t>Intermediate consumption…………………………</t>
  </si>
  <si>
    <t>VALUE ADDED, GROSS……………………..</t>
  </si>
  <si>
    <t>Source: Kenya National Bureau of Statistics</t>
  </si>
  <si>
    <t>* Provisional</t>
  </si>
  <si>
    <r>
      <rPr>
        <vertAlign val="superscript"/>
        <sz val="10"/>
        <color theme="1"/>
        <rFont val="Arno Pro"/>
        <family val="1"/>
      </rPr>
      <t>1</t>
    </r>
    <r>
      <rPr>
        <sz val="10"/>
        <color theme="1"/>
        <rFont val="Arno Pro"/>
        <family val="1"/>
      </rPr>
      <t>Excludes Forestry and Fishing</t>
    </r>
  </si>
  <si>
    <t>Table 8.2: Recorded Marketed Production at Current Prices, 2010-2014</t>
  </si>
  <si>
    <t>KSh Million</t>
  </si>
  <si>
    <t>2023*</t>
  </si>
  <si>
    <t>CEREALS-</t>
  </si>
  <si>
    <t>Maize   ..   ..   ……………</t>
  </si>
  <si>
    <t>Wheat   ..   ..   …………..</t>
  </si>
  <si>
    <t>Others  ..   ..   ………….</t>
  </si>
  <si>
    <t>Total   ..   …………….</t>
  </si>
  <si>
    <r>
      <rPr>
        <sz val="10"/>
        <rFont val="Arno Pro"/>
        <family val="1"/>
      </rPr>
      <t>HORTICULTURE</t>
    </r>
    <r>
      <rPr>
        <vertAlign val="superscript"/>
        <sz val="10"/>
        <rFont val="Arno Pro"/>
        <family val="1"/>
      </rPr>
      <t>1</t>
    </r>
    <r>
      <rPr>
        <sz val="10"/>
        <rFont val="Arno Pro"/>
        <family val="1"/>
      </rPr>
      <t>-</t>
    </r>
  </si>
  <si>
    <t>Cut flowers   ..   ..   ……..</t>
  </si>
  <si>
    <t>Vegetables   ..   ..   ………</t>
  </si>
  <si>
    <t>Fruits  ..   ..   …………….</t>
  </si>
  <si>
    <t>Total   ..   ……………..</t>
  </si>
  <si>
    <t>TEMPORARY INDUSTRIAL CROPS-</t>
  </si>
  <si>
    <t>Sugarcane   ..   …………</t>
  </si>
  <si>
    <t>Pyrethrum    ..   .. ………..</t>
  </si>
  <si>
    <t>Others  ..   ..   …………..</t>
  </si>
  <si>
    <t xml:space="preserve"> Total   ..   ……………..</t>
  </si>
  <si>
    <t>PERMANENT CROPS-</t>
  </si>
  <si>
    <t>Coffee  ..   ..   …………..</t>
  </si>
  <si>
    <t>Tea     ..   ..   ………………</t>
  </si>
  <si>
    <t>Sisal   ..   ..   ……………</t>
  </si>
  <si>
    <t>Total   ..   …………</t>
  </si>
  <si>
    <t>TOTAL CROPS…</t>
  </si>
  <si>
    <t>LIVESTOCK AND PRODUCTS-…….</t>
  </si>
  <si>
    <t>Cattle and Calves ………</t>
  </si>
  <si>
    <t>Goats and Sheep………</t>
  </si>
  <si>
    <t>Milk .. ..    ……... ……….</t>
  </si>
  <si>
    <t>Chicken and eggs…………</t>
  </si>
  <si>
    <t>Others  ..   ..   ……………</t>
  </si>
  <si>
    <t xml:space="preserve">              Total   ..   ……….</t>
  </si>
  <si>
    <t>GRAND TOTAL   ..   ………………….</t>
  </si>
  <si>
    <t>*  Provisional.</t>
  </si>
  <si>
    <r>
      <rPr>
        <vertAlign val="superscript"/>
        <sz val="10"/>
        <rFont val="Arno Pro"/>
        <family val="1"/>
      </rPr>
      <t>1</t>
    </r>
    <r>
      <rPr>
        <sz val="10"/>
        <rFont val="Arno Pro"/>
        <family val="1"/>
      </rPr>
      <t>Data refers to fresh horticultural exports only</t>
    </r>
  </si>
  <si>
    <t>Base: 2018=100</t>
  </si>
  <si>
    <t>QUANTUM</t>
  </si>
  <si>
    <t>Cereals       ..   ..   ..  ………………………………….</t>
  </si>
  <si>
    <t xml:space="preserve"> INDICES</t>
  </si>
  <si>
    <t>Temporary Industrial Crops  ………………………</t>
  </si>
  <si>
    <r>
      <rPr>
        <sz val="10"/>
        <rFont val="Arno Pro"/>
        <family val="1"/>
      </rPr>
      <t xml:space="preserve">Horticulture </t>
    </r>
    <r>
      <rPr>
        <vertAlign val="superscript"/>
        <sz val="10"/>
        <rFont val="Arno Pro"/>
        <family val="1"/>
      </rPr>
      <t>1</t>
    </r>
    <r>
      <rPr>
        <sz val="10"/>
        <rFont val="Arno Pro"/>
        <family val="1"/>
      </rPr>
      <t>.. ..   ..   ..   ..   …………………………..</t>
    </r>
  </si>
  <si>
    <t>Permanent Crops   ..   ..   ..   ………………………..</t>
  </si>
  <si>
    <t>TOTAL CROPS    ..   ..   …………………………….</t>
  </si>
  <si>
    <t>Livestock and Livestock Products   ..   ..   ………………………</t>
  </si>
  <si>
    <t>TOTAL  ….</t>
  </si>
  <si>
    <t>PRICE</t>
  </si>
  <si>
    <t>Cereals      ..   ..   ..   ………………………………….</t>
  </si>
  <si>
    <t>INDICES</t>
  </si>
  <si>
    <t>Temporary Industrial Crops  ..  ……………………</t>
  </si>
  <si>
    <r>
      <rPr>
        <sz val="10"/>
        <rFont val="Arno Pro"/>
        <family val="1"/>
      </rPr>
      <t>Horticulture</t>
    </r>
    <r>
      <rPr>
        <vertAlign val="superscript"/>
        <sz val="10"/>
        <rFont val="Arno Pro"/>
        <family val="1"/>
      </rPr>
      <t>1</t>
    </r>
    <r>
      <rPr>
        <sz val="10"/>
        <rFont val="Arno Pro"/>
        <family val="1"/>
      </rPr>
      <t xml:space="preserve"> .. ..   ..   ..   ..   ……………</t>
    </r>
  </si>
  <si>
    <t>Permanent Crops   ..   ..   ………………………….</t>
  </si>
  <si>
    <t>TOTAL CROPS     ..   ..   ………………………….</t>
  </si>
  <si>
    <t xml:space="preserve"> Livestock and Products  ..   ..   …………………….</t>
  </si>
  <si>
    <t>TOTAL  …</t>
  </si>
  <si>
    <t>KSh  per Unit</t>
  </si>
  <si>
    <t>Unit</t>
  </si>
  <si>
    <t>Coffee  ......…………………………</t>
  </si>
  <si>
    <t>100 Kg</t>
  </si>
  <si>
    <t>Tea      ............……………………..</t>
  </si>
  <si>
    <t>Sisal     ......…………………………</t>
  </si>
  <si>
    <t>Sugar-cane   ......……………………</t>
  </si>
  <si>
    <t>Tonne</t>
  </si>
  <si>
    <t>Seed Cotton  ........………………….</t>
  </si>
  <si>
    <t xml:space="preserve"> 100 Kg</t>
  </si>
  <si>
    <t>Maize   ……....……………………..</t>
  </si>
  <si>
    <t>Wheat   ............…………………….</t>
  </si>
  <si>
    <t>Beef (third grade) ….……………….</t>
  </si>
  <si>
    <t>Pig meat   ........……………………..</t>
  </si>
  <si>
    <t>Milk    .............……………………..</t>
  </si>
  <si>
    <t xml:space="preserve"> 100 Litres</t>
  </si>
  <si>
    <t>*   Provisional.</t>
  </si>
  <si>
    <r>
      <rPr>
        <vertAlign val="superscript"/>
        <sz val="10"/>
        <rFont val="Arno Pro"/>
        <family val="1"/>
      </rPr>
      <t xml:space="preserve">1 </t>
    </r>
    <r>
      <rPr>
        <sz val="10"/>
        <rFont val="Arno Pro"/>
        <family val="1"/>
      </rPr>
      <t xml:space="preserve">  Prices refer to the calendar year and may differ from those based on crop years. For tea and coffee , the prices are for black tea and coffee beans, respectively.</t>
    </r>
  </si>
  <si>
    <t>Year</t>
  </si>
  <si>
    <r>
      <rPr>
        <b/>
        <sz val="10"/>
        <rFont val="Arno Pro"/>
        <family val="1"/>
      </rPr>
      <t xml:space="preserve">         Large  Farms</t>
    </r>
    <r>
      <rPr>
        <b/>
        <vertAlign val="superscript"/>
        <sz val="10"/>
        <rFont val="Arno Pro"/>
        <family val="1"/>
      </rPr>
      <t>1</t>
    </r>
  </si>
  <si>
    <t xml:space="preserve">       Small   Farms</t>
  </si>
  <si>
    <t>Total</t>
  </si>
  <si>
    <t>Percentage</t>
  </si>
  <si>
    <t xml:space="preserve"> Annual</t>
  </si>
  <si>
    <t>Share of</t>
  </si>
  <si>
    <t xml:space="preserve"> Small</t>
  </si>
  <si>
    <t xml:space="preserve">  change</t>
  </si>
  <si>
    <t>Farms</t>
  </si>
  <si>
    <r>
      <rPr>
        <vertAlign val="superscript"/>
        <sz val="10"/>
        <rFont val="Arno Pro"/>
        <family val="1"/>
      </rPr>
      <t>1</t>
    </r>
    <r>
      <rPr>
        <sz val="10"/>
        <rFont val="Arno Pro"/>
        <family val="1"/>
      </rPr>
      <t xml:space="preserve"> 20 hectares and above</t>
    </r>
  </si>
  <si>
    <t>Crop</t>
  </si>
  <si>
    <r>
      <rPr>
        <b/>
        <sz val="10"/>
        <rFont val="Arno Pro"/>
        <family val="1"/>
      </rPr>
      <t>Unit</t>
    </r>
    <r>
      <rPr>
        <b/>
        <vertAlign val="superscript"/>
        <sz val="10"/>
        <rFont val="Arno Pro"/>
        <family val="1"/>
      </rPr>
      <t>1</t>
    </r>
  </si>
  <si>
    <t>Maize   ..   ..   ..     ..</t>
  </si>
  <si>
    <t>Million bags</t>
  </si>
  <si>
    <t>Beans   ..   ..   ..     ..</t>
  </si>
  <si>
    <t xml:space="preserve">Potatoes     ..   ..    .. </t>
  </si>
  <si>
    <t>Million tonnes</t>
  </si>
  <si>
    <t xml:space="preserve">Source: Ministry of Agriculture and Livestock Development: State Department for Crops </t>
  </si>
  <si>
    <t>*  Provisional</t>
  </si>
  <si>
    <r>
      <rPr>
        <vertAlign val="superscript"/>
        <sz val="10"/>
        <color theme="1"/>
        <rFont val="Arno Pro"/>
        <family val="1"/>
      </rPr>
      <t>1</t>
    </r>
    <r>
      <rPr>
        <sz val="10"/>
        <color theme="1"/>
        <rFont val="Arno Pro"/>
        <family val="1"/>
      </rPr>
      <t xml:space="preserve"> Refers to a 90Kg bag</t>
    </r>
  </si>
  <si>
    <t>KSh per Kg</t>
  </si>
  <si>
    <t>CROP</t>
  </si>
  <si>
    <t>Mar</t>
  </si>
  <si>
    <t>Sept</t>
  </si>
  <si>
    <t>Maize…………….</t>
  </si>
  <si>
    <t>Beans………………</t>
  </si>
  <si>
    <t>Finger Millet………</t>
  </si>
  <si>
    <t>Sorghum………….</t>
  </si>
  <si>
    <t>Potatoes…………..</t>
  </si>
  <si>
    <t>Cabbages………….</t>
  </si>
  <si>
    <t>Tomatoes………….</t>
  </si>
  <si>
    <t>Bananas…………..</t>
  </si>
  <si>
    <r>
      <rPr>
        <sz val="10"/>
        <rFont val="Arno Pro"/>
        <family val="1"/>
      </rPr>
      <t>Maize</t>
    </r>
    <r>
      <rPr>
        <vertAlign val="superscript"/>
        <sz val="10"/>
        <rFont val="Arno Pro"/>
        <family val="1"/>
      </rPr>
      <t>1</t>
    </r>
    <r>
      <rPr>
        <sz val="10"/>
        <rFont val="Arno Pro"/>
        <family val="1"/>
      </rPr>
      <t xml:space="preserve">  …................................................</t>
    </r>
  </si>
  <si>
    <t>000 Tonnes</t>
  </si>
  <si>
    <r>
      <rPr>
        <sz val="10"/>
        <rFont val="Arno Pro"/>
        <family val="1"/>
      </rPr>
      <t>Wheat</t>
    </r>
    <r>
      <rPr>
        <vertAlign val="superscript"/>
        <sz val="10"/>
        <rFont val="Arno Pro"/>
        <family val="1"/>
      </rPr>
      <t xml:space="preserve">2 </t>
    </r>
    <r>
      <rPr>
        <sz val="10"/>
        <rFont val="Arno Pro"/>
        <family val="1"/>
      </rPr>
      <t>….................................................</t>
    </r>
  </si>
  <si>
    <t>Coffee ….................................................</t>
  </si>
  <si>
    <t>Tea   ….................................................</t>
  </si>
  <si>
    <r>
      <rPr>
        <sz val="10"/>
        <rFont val="Arno Pro"/>
        <family val="1"/>
      </rPr>
      <t>Cotton</t>
    </r>
    <r>
      <rPr>
        <vertAlign val="superscript"/>
        <sz val="10"/>
        <rFont val="Arno Pro"/>
        <family val="1"/>
      </rPr>
      <t>2</t>
    </r>
    <r>
      <rPr>
        <sz val="10"/>
        <rFont val="Arno Pro"/>
        <family val="1"/>
      </rPr>
      <t xml:space="preserve"> ….................................................</t>
    </r>
  </si>
  <si>
    <t>Million Tonnes</t>
  </si>
  <si>
    <t>Pyrethrum (extract equivalent)…..</t>
  </si>
  <si>
    <t>Tonnes</t>
  </si>
  <si>
    <t>Sisal ….................................................</t>
  </si>
  <si>
    <r>
      <rPr>
        <sz val="10"/>
        <rFont val="Arno Pro"/>
        <family val="1"/>
      </rPr>
      <t>Rice Paddy</t>
    </r>
    <r>
      <rPr>
        <vertAlign val="superscript"/>
        <sz val="10"/>
        <rFont val="Arno Pro"/>
        <family val="1"/>
      </rPr>
      <t xml:space="preserve">2 </t>
    </r>
    <r>
      <rPr>
        <sz val="10"/>
        <rFont val="Arno Pro"/>
        <family val="1"/>
      </rPr>
      <t xml:space="preserve"> .….................................................</t>
    </r>
  </si>
  <si>
    <r>
      <rPr>
        <vertAlign val="superscript"/>
        <sz val="10"/>
        <rFont val="Arno Pro"/>
        <family val="1"/>
      </rPr>
      <t>1</t>
    </r>
    <r>
      <rPr>
        <sz val="10"/>
        <rFont val="Arno Pro"/>
        <family val="1"/>
      </rPr>
      <t xml:space="preserve"> Includes purchases by National Cereals and Produce Board and millers.</t>
    </r>
  </si>
  <si>
    <t xml:space="preserve">  '000 Tonnes</t>
  </si>
  <si>
    <t>Imports</t>
  </si>
  <si>
    <t>2019  ..  …………..</t>
  </si>
  <si>
    <t>2020.…………..</t>
  </si>
  <si>
    <t>2021…………..</t>
  </si>
  <si>
    <t>* Provisional.</t>
  </si>
  <si>
    <t>2018/19</t>
  </si>
  <si>
    <t>2019/20</t>
  </si>
  <si>
    <t>2020/21</t>
  </si>
  <si>
    <t>AREA (Ha) '000-</t>
  </si>
  <si>
    <t xml:space="preserve">Co-operatives      ..  .. .. .. .. ……….... .. </t>
  </si>
  <si>
    <t xml:space="preserve">Estates      ..    ..  ..  .. .. ………….... .. .. ..   </t>
  </si>
  <si>
    <t xml:space="preserve">TOTAL  .. .. .. .. .. .. .. .. .. …….. .. .. </t>
  </si>
  <si>
    <t>PRODUCTION (Tonnes) '000-</t>
  </si>
  <si>
    <t xml:space="preserve">Co-operatives .. .. .. .. .. .. .. ………….... .. </t>
  </si>
  <si>
    <t>Estates .. .. .. .. .. .. .. .. .. .. .. .. ……………</t>
  </si>
  <si>
    <t>TOTAL  .. .. .. .. .. .. .. .. .. .. .. .. ……….</t>
  </si>
  <si>
    <t>AVERAGE YIELD (Kg/Ha.)-</t>
  </si>
  <si>
    <t>Co-operatives  .. .. .. .. .. .. .. .. …………..</t>
  </si>
  <si>
    <t>Estates  .. .. .. .. .. .. .. .. .. .. .. .. …………..</t>
  </si>
  <si>
    <t>Source: Agriculture and Food Authority, Coffee Directorate</t>
  </si>
  <si>
    <t>Note:</t>
  </si>
  <si>
    <t>The coffee year is from October  to September</t>
  </si>
  <si>
    <t>Yield is obtained by dividing current production by acreage three years ago</t>
  </si>
  <si>
    <t xml:space="preserve">     Smallholders  ..  ..  ..  ..  ..  .. ……………... </t>
  </si>
  <si>
    <t xml:space="preserve">      Estates  ..  ..  ..  ………………….  ..  ..  ..  </t>
  </si>
  <si>
    <t xml:space="preserve">      TOTAL  ..  ..  ..  ……………...   ..  ..  ..  ..  </t>
  </si>
  <si>
    <t xml:space="preserve">     Smallholders  ..  ..  ..  ..  ..  ………………...  </t>
  </si>
  <si>
    <t xml:space="preserve">      Estates  ..  ..  ..  ..  ..  ..  ..  ……………….</t>
  </si>
  <si>
    <t xml:space="preserve">      TOTAL  ..  ..  ..  ..   ..  ..  ..  ..  ……………</t>
  </si>
  <si>
    <t xml:space="preserve">      Smallholders  ..  ..  ………………...  ..  ..  </t>
  </si>
  <si>
    <t xml:space="preserve">       Estates  ..  ..  ..  ..  ..  ..  ………………….</t>
  </si>
  <si>
    <t>Source: Tea Board of Kenya</t>
  </si>
  <si>
    <t>Total Production ('000 Tonnes)</t>
  </si>
  <si>
    <t>Production by non-contracted farmers ('000 Tonnes)</t>
  </si>
  <si>
    <r>
      <rPr>
        <sz val="10"/>
        <rFont val="Arno Pro"/>
        <family val="1"/>
      </rPr>
      <t>Average yield (Tonnes/Ha)</t>
    </r>
    <r>
      <rPr>
        <vertAlign val="superscript"/>
        <sz val="10"/>
        <rFont val="Arno Pro"/>
        <family val="1"/>
      </rPr>
      <t>2</t>
    </r>
  </si>
  <si>
    <t>Source: Agriculture and Food Authority, Sugar Directorate</t>
  </si>
  <si>
    <r>
      <rPr>
        <vertAlign val="superscript"/>
        <sz val="10"/>
        <color indexed="8"/>
        <rFont val="Arno Pro"/>
        <family val="1"/>
      </rPr>
      <t xml:space="preserve">1 </t>
    </r>
    <r>
      <rPr>
        <sz val="10"/>
        <color indexed="8"/>
        <rFont val="Arno Pro"/>
        <family val="1"/>
      </rPr>
      <t xml:space="preserve">Excludes area harvested by non-contracted farmers </t>
    </r>
  </si>
  <si>
    <r>
      <rPr>
        <vertAlign val="superscript"/>
        <sz val="10"/>
        <rFont val="Arno Pro"/>
        <family val="1"/>
      </rPr>
      <t xml:space="preserve">2 </t>
    </r>
    <r>
      <rPr>
        <sz val="10"/>
        <rFont val="Arno Pro"/>
        <family val="1"/>
      </rPr>
      <t>Yield  = (Total production - production by non-contracted farmers)/area harvested</t>
    </r>
  </si>
  <si>
    <t>'000 Tonnes</t>
  </si>
  <si>
    <t>Production</t>
  </si>
  <si>
    <t xml:space="preserve"> Imports</t>
  </si>
  <si>
    <t>Exports</t>
  </si>
  <si>
    <t>2019……………..</t>
  </si>
  <si>
    <t>2020………..</t>
  </si>
  <si>
    <t>2021………..</t>
  </si>
  <si>
    <t>*Provisional</t>
  </si>
  <si>
    <t>Cut Flowers</t>
  </si>
  <si>
    <t>Fruits</t>
  </si>
  <si>
    <t>Vegetables</t>
  </si>
  <si>
    <t>Volume</t>
  </si>
  <si>
    <t>Value</t>
  </si>
  <si>
    <t>KSh billion</t>
  </si>
  <si>
    <t>2019……</t>
  </si>
  <si>
    <t>2020.……</t>
  </si>
  <si>
    <t>2021……</t>
  </si>
  <si>
    <t>2022…...</t>
  </si>
  <si>
    <t>2023*…...</t>
  </si>
  <si>
    <t>Source: Agriculture and Food Authority, Horticulture Directorate</t>
  </si>
  <si>
    <r>
      <rPr>
        <vertAlign val="superscript"/>
        <sz val="10"/>
        <rFont val="Arno Pro"/>
        <family val="1"/>
      </rPr>
      <t>1</t>
    </r>
    <r>
      <rPr>
        <sz val="10"/>
        <rFont val="Arno Pro"/>
        <family val="1"/>
      </rPr>
      <t xml:space="preserve"> Excludes exports of processed horticultural produce and nuts.</t>
    </r>
  </si>
  <si>
    <t>2021/22</t>
  </si>
  <si>
    <t>MWEA-</t>
  </si>
  <si>
    <t>Area cropped      ..   .. .. .. .. .. .. .. ..</t>
  </si>
  <si>
    <t>Hectares</t>
  </si>
  <si>
    <t>Plot-holders   ..   ..   .. .. .. .. .. .. .. ..</t>
  </si>
  <si>
    <t>Number</t>
  </si>
  <si>
    <t>Gross value of output    .. .. .. ..</t>
  </si>
  <si>
    <t>Payments to plot-holders .. .. ..</t>
  </si>
  <si>
    <t>ALL  SCHEME  AREAS-</t>
  </si>
  <si>
    <t>Area cropped     ..   .. .. .. .. .. .. .. ..</t>
  </si>
  <si>
    <t>CROPS  PRODUCED - Paddy</t>
  </si>
  <si>
    <t>Mwea      ..   ..   ..   ..  .. .. .. .. .. .. .. .. ..</t>
  </si>
  <si>
    <t>W.Kano     ..   ..   ..   .. .. .. .. .. .. .. .. .. ..</t>
  </si>
  <si>
    <t>Bunyala    ..   ..   ..   .. .. .. .. .. .. .. .. .. ..</t>
  </si>
  <si>
    <t xml:space="preserve">South West Kano.. .. .. .. .. .. .. .. .. .. ..                </t>
  </si>
  <si>
    <t xml:space="preserve">North Kano      ..   ..   ..   .. .. </t>
  </si>
  <si>
    <t>Bura     ..   ..   ..   .. .. .. .. .. .. .. .. .. ..</t>
  </si>
  <si>
    <t>Tana    ..   ..   ..   .. .. .. .. .. .. .. .. .. ..</t>
  </si>
  <si>
    <t xml:space="preserve">Lower Kinja .. .. .. .. .. .. .. .. .. .. ..                </t>
  </si>
  <si>
    <t>TOTAL</t>
  </si>
  <si>
    <t>Source: National Irrigation Authority</t>
  </si>
  <si>
    <t xml:space="preserve">        Production……………….  </t>
  </si>
  <si>
    <t xml:space="preserve">        Price ………………………</t>
  </si>
  <si>
    <t>KSh/ Kg</t>
  </si>
  <si>
    <t xml:space="preserve">        Value ………………………</t>
  </si>
  <si>
    <t>KSh million</t>
  </si>
  <si>
    <t xml:space="preserve">Pyrethrum Extract </t>
  </si>
  <si>
    <t xml:space="preserve">         Production……………..</t>
  </si>
  <si>
    <t xml:space="preserve">         Price……………………. </t>
  </si>
  <si>
    <t xml:space="preserve">         Value……………………. </t>
  </si>
  <si>
    <t xml:space="preserve">Source: Agriculture and Food Authority: Miraa, Pyrethrum and other Industrial Crops </t>
  </si>
  <si>
    <t>Million litres</t>
  </si>
  <si>
    <t>Milk Processed</t>
  </si>
  <si>
    <t>Milk and cream………………..</t>
  </si>
  <si>
    <t>Butter and ghee  ……………..   ..</t>
  </si>
  <si>
    <t xml:space="preserve">Cheese      ..   ..   ..  ………………. </t>
  </si>
  <si>
    <t>Livestock  Slaughtered</t>
  </si>
  <si>
    <t>Cattle and Calves..  ..  ………………</t>
  </si>
  <si>
    <t>'000 Head</t>
  </si>
  <si>
    <t>Source: Kenya National Bureau of Statistics, Kenya Dairy Board, State Department for Livestock</t>
  </si>
  <si>
    <t xml:space="preserve">Male </t>
  </si>
  <si>
    <t>Female</t>
  </si>
  <si>
    <t xml:space="preserve">DEGREE LEVEL </t>
  </si>
  <si>
    <t>Public Universities</t>
  </si>
  <si>
    <t xml:space="preserve">DIPLOMA LEVEL </t>
  </si>
  <si>
    <t>Egerton University</t>
  </si>
  <si>
    <t>Bukura Institute of Agriculture</t>
  </si>
  <si>
    <t>Naivasha Dairy Training Institute</t>
  </si>
  <si>
    <t>DIPLOMA - Animal Health Training Institutes</t>
  </si>
  <si>
    <t>Kabete</t>
  </si>
  <si>
    <t xml:space="preserve">CERTIFICATE  LEVEL- </t>
  </si>
  <si>
    <t>Animal Health Training Institutes-</t>
  </si>
  <si>
    <t>SHORT-TERM  VOCATIONAL  COURSES-</t>
  </si>
  <si>
    <t>Naivasha Dairy Training School</t>
  </si>
  <si>
    <t>Athi River M.T. School</t>
  </si>
  <si>
    <t>Ndomba</t>
  </si>
  <si>
    <r>
      <rPr>
        <b/>
        <sz val="10"/>
        <color indexed="8"/>
        <rFont val="Arno Pro"/>
        <family val="1"/>
      </rPr>
      <t>Source</t>
    </r>
    <r>
      <rPr>
        <sz val="10"/>
        <color indexed="8"/>
        <rFont val="Arno Pro"/>
        <family val="1"/>
      </rPr>
      <t xml:space="preserve">: Ministry of Agriculture and Livestock Development; Public Universities and other Institutions </t>
    </r>
  </si>
  <si>
    <t xml:space="preserve">*    Provisional                                             </t>
  </si>
  <si>
    <t>Coffee</t>
  </si>
  <si>
    <t>Sugar-cane</t>
  </si>
  <si>
    <t>Pyrethrum</t>
  </si>
  <si>
    <t>Cotton</t>
  </si>
  <si>
    <t>Dairy</t>
  </si>
  <si>
    <t>Multi-produce</t>
  </si>
  <si>
    <t>Farm Purchase</t>
  </si>
  <si>
    <t>Fisheries</t>
  </si>
  <si>
    <t>Other Agricultural Societies</t>
  </si>
  <si>
    <t xml:space="preserve">  Sub- Total</t>
  </si>
  <si>
    <t>Savings and Credit</t>
  </si>
  <si>
    <t>Other Non-Agricultural Societies</t>
  </si>
  <si>
    <t>Unions (Agricultural)</t>
  </si>
  <si>
    <r>
      <rPr>
        <b/>
        <sz val="10"/>
        <rFont val="Arno Pro"/>
        <family val="1"/>
      </rPr>
      <t>Source</t>
    </r>
    <r>
      <rPr>
        <sz val="10"/>
        <rFont val="Arno Pro"/>
        <family val="1"/>
      </rPr>
      <t xml:space="preserve">: Ministry of Cooperatives and Micro, Small and Medium Enterprises Development, State Department of Cooperatives </t>
    </r>
  </si>
  <si>
    <t>Indicator</t>
  </si>
  <si>
    <t>Per Caput Daily Supply</t>
  </si>
  <si>
    <t>SSR - Per Cent</t>
  </si>
  <si>
    <t>IDR - Per Cent</t>
  </si>
  <si>
    <t>Per Caput Caloric Daily Supply</t>
  </si>
  <si>
    <t>2022…………..</t>
  </si>
  <si>
    <t>2023*…………..</t>
  </si>
  <si>
    <t>Table 7.2: Recorded Marketed Agricultural Production at Current Prices, 2019-2023</t>
  </si>
  <si>
    <t>Table 7.3: Quantum and Price Indices of Recorded Sales of Agricultural Production, 2019-2023</t>
  </si>
  <si>
    <r>
      <t>Table 7.4 Average Gross Commodity Prices</t>
    </r>
    <r>
      <rPr>
        <b/>
        <vertAlign val="superscript"/>
        <sz val="10"/>
        <color rgb="FF8E1900"/>
        <rFont val="Arno Pro"/>
        <family val="1"/>
      </rPr>
      <t>1</t>
    </r>
    <r>
      <rPr>
        <b/>
        <sz val="10"/>
        <color rgb="FF8E1900"/>
        <rFont val="Arno Pro"/>
        <family val="1"/>
      </rPr>
      <t xml:space="preserve"> to Farmers, 2019-2023</t>
    </r>
  </si>
  <si>
    <t>Table 7.5: Recorded Sale of Produce from Large and Small Farms, 2019-2023</t>
  </si>
  <si>
    <t>2022/23*</t>
  </si>
  <si>
    <t>2022………..</t>
  </si>
  <si>
    <t>2023*………..</t>
  </si>
  <si>
    <t>2022/23</t>
  </si>
  <si>
    <t xml:space="preserve">Sorghum     ..   ..    .. </t>
  </si>
  <si>
    <t xml:space="preserve">Millet     ..   ..    .. </t>
  </si>
  <si>
    <t xml:space="preserve">PRODUCTION - MADE TEA ('000 Tonnes) </t>
  </si>
  <si>
    <t xml:space="preserve">PRODUCTION -  GREEN LEAF  ('000 Tonnes) </t>
  </si>
  <si>
    <r>
      <t>Sugar-cane</t>
    </r>
    <r>
      <rPr>
        <vertAlign val="superscript"/>
        <sz val="10"/>
        <rFont val="Arno Pro"/>
        <family val="1"/>
      </rPr>
      <t>2,3</t>
    </r>
    <r>
      <rPr>
        <sz val="10"/>
        <rFont val="Arno Pro"/>
        <family val="1"/>
      </rPr>
      <t xml:space="preserve">  ….................................................</t>
    </r>
  </si>
  <si>
    <r>
      <rPr>
        <vertAlign val="superscript"/>
        <sz val="10"/>
        <rFont val="Arno Pro"/>
        <family val="1"/>
      </rPr>
      <t xml:space="preserve"> 3</t>
    </r>
    <r>
      <rPr>
        <sz val="10"/>
        <rFont val="Arno Pro"/>
        <family val="1"/>
      </rPr>
      <t xml:space="preserve"> Series revised from 2019</t>
    </r>
  </si>
  <si>
    <r>
      <rPr>
        <vertAlign val="superscript"/>
        <sz val="10"/>
        <rFont val="Arno Pro"/>
        <family val="1"/>
      </rPr>
      <t xml:space="preserve"> 2</t>
    </r>
    <r>
      <rPr>
        <sz val="10"/>
        <rFont val="Arno Pro"/>
        <family val="1"/>
      </rPr>
      <t xml:space="preserve"> Deliveries to factories/ginneries. </t>
    </r>
  </si>
  <si>
    <r>
      <t>AREA ('000 Ha)</t>
    </r>
    <r>
      <rPr>
        <vertAlign val="superscript"/>
        <sz val="10"/>
        <rFont val="Arno Pro"/>
        <family val="1"/>
      </rPr>
      <t>1</t>
    </r>
    <r>
      <rPr>
        <sz val="10"/>
        <rFont val="Arno Pro"/>
        <family val="1"/>
      </rPr>
      <t xml:space="preserve"> </t>
    </r>
  </si>
  <si>
    <r>
      <t xml:space="preserve">2 </t>
    </r>
    <r>
      <rPr>
        <sz val="10"/>
        <rFont val="Arno Pro"/>
        <family val="1"/>
      </rPr>
      <t>Obtained by dividing current production by the area four years ago</t>
    </r>
  </si>
  <si>
    <r>
      <t xml:space="preserve">1 </t>
    </r>
    <r>
      <rPr>
        <sz val="10"/>
        <rFont val="Arno Pro"/>
        <family val="1"/>
      </rPr>
      <t>Area and yield data revised since 2019</t>
    </r>
  </si>
  <si>
    <r>
      <t>AVERAGE YIELD - MADE TEA (Kg/Ha)</t>
    </r>
    <r>
      <rPr>
        <vertAlign val="superscript"/>
        <sz val="10"/>
        <rFont val="Arno Pro"/>
        <family val="1"/>
      </rPr>
      <t>1,2</t>
    </r>
  </si>
  <si>
    <r>
      <t>Area harvested ('000 Ha)</t>
    </r>
    <r>
      <rPr>
        <vertAlign val="superscript"/>
        <sz val="10"/>
        <rFont val="Arno Pro"/>
        <family val="1"/>
      </rPr>
      <t xml:space="preserve">1,3 </t>
    </r>
  </si>
  <si>
    <r>
      <t>Area under cane ('000 Ha)</t>
    </r>
    <r>
      <rPr>
        <vertAlign val="superscript"/>
        <sz val="10"/>
        <rFont val="Arno Pro"/>
        <family val="1"/>
      </rPr>
      <t>3</t>
    </r>
  </si>
  <si>
    <r>
      <rPr>
        <vertAlign val="superscript"/>
        <sz val="10"/>
        <rFont val="Arno Pro"/>
        <family val="1"/>
      </rPr>
      <t xml:space="preserve">3 </t>
    </r>
    <r>
      <rPr>
        <sz val="10"/>
        <rFont val="Arno Pro"/>
        <family val="1"/>
      </rPr>
      <t>Data on area harvested  and average yield revised since 2019</t>
    </r>
  </si>
  <si>
    <r>
      <t xml:space="preserve">Ahero </t>
    </r>
    <r>
      <rPr>
        <vertAlign val="superscript"/>
        <sz val="10"/>
        <rFont val="Arno Pro"/>
        <family val="1"/>
      </rPr>
      <t>1</t>
    </r>
    <r>
      <rPr>
        <sz val="10"/>
        <rFont val="Arno Pro"/>
        <family val="1"/>
      </rPr>
      <t xml:space="preserve">     ..   ..   ..   .. .. .. .. .. .. .. .. .. .. ..</t>
    </r>
  </si>
  <si>
    <t>1 In 2023, paddy production in Ahero includes "Ahero expansion"</t>
  </si>
  <si>
    <r>
      <t>Pyrethrum flowers (dry)</t>
    </r>
    <r>
      <rPr>
        <b/>
        <vertAlign val="superscript"/>
        <sz val="10"/>
        <color theme="1"/>
        <rFont val="Arno Pro"/>
        <family val="1"/>
      </rPr>
      <t>1</t>
    </r>
  </si>
  <si>
    <r>
      <rPr>
        <vertAlign val="superscript"/>
        <sz val="10"/>
        <rFont val="Arno Pro"/>
        <family val="1"/>
      </rPr>
      <t xml:space="preserve">1 </t>
    </r>
    <r>
      <rPr>
        <sz val="10"/>
        <rFont val="Arno Pro"/>
        <family val="1"/>
      </rPr>
      <t>Pyrethrum flowers (dry) data revised since 2019</t>
    </r>
  </si>
  <si>
    <t>Rabbits        ..   ..   ..    ………</t>
  </si>
  <si>
    <t>Chicken        ..   ..   ..    ………</t>
  </si>
  <si>
    <t>Camels        ..   ..   ..    ………</t>
  </si>
  <si>
    <t>Donkeys        ..   ..   ..    ………</t>
  </si>
  <si>
    <t>Sheep and Goats  ..   ..    …………</t>
  </si>
  <si>
    <t>Pigs        ..   ..   ..    ……………</t>
  </si>
  <si>
    <t>. .</t>
  </si>
  <si>
    <t>..</t>
  </si>
  <si>
    <r>
      <t>Ndomba</t>
    </r>
    <r>
      <rPr>
        <vertAlign val="superscript"/>
        <sz val="10"/>
        <color indexed="8"/>
        <rFont val="Arno Pro"/>
        <family val="1"/>
      </rPr>
      <t xml:space="preserve">1 </t>
    </r>
  </si>
  <si>
    <r>
      <t>Nyahururu</t>
    </r>
    <r>
      <rPr>
        <vertAlign val="superscript"/>
        <sz val="10"/>
        <color indexed="8"/>
        <rFont val="Arno Pro"/>
        <family val="1"/>
      </rPr>
      <t>2</t>
    </r>
  </si>
  <si>
    <r>
      <t>Livestock Training Institute - Wajir</t>
    </r>
    <r>
      <rPr>
        <vertAlign val="superscript"/>
        <sz val="10"/>
        <color indexed="8"/>
        <rFont val="Arno Pro"/>
        <family val="1"/>
      </rPr>
      <t>3</t>
    </r>
  </si>
  <si>
    <r>
      <t>Ndomba</t>
    </r>
    <r>
      <rPr>
        <vertAlign val="superscript"/>
        <sz val="10"/>
        <color indexed="8"/>
        <rFont val="Arno Pro"/>
        <family val="1"/>
      </rPr>
      <t>1</t>
    </r>
  </si>
  <si>
    <r>
      <t>1</t>
    </r>
    <r>
      <rPr>
        <sz val="10"/>
        <rFont val="Arno Pro"/>
        <family val="1"/>
      </rPr>
      <t xml:space="preserve"> The 2019 numbers have been revised.</t>
    </r>
  </si>
  <si>
    <r>
      <t xml:space="preserve">2 </t>
    </r>
    <r>
      <rPr>
        <sz val="9"/>
        <rFont val="Arno Pro"/>
        <family val="1"/>
      </rPr>
      <t>Figures available from 2020</t>
    </r>
  </si>
  <si>
    <r>
      <t xml:space="preserve">3 </t>
    </r>
    <r>
      <rPr>
        <sz val="9"/>
        <rFont val="Arno Pro"/>
        <family val="1"/>
      </rPr>
      <t>Figures available only for 2023</t>
    </r>
  </si>
  <si>
    <r>
      <t xml:space="preserve">.. </t>
    </r>
    <r>
      <rPr>
        <sz val="9"/>
        <rFont val="Arno Pro"/>
        <family val="1"/>
      </rPr>
      <t>Data unavailable</t>
    </r>
  </si>
  <si>
    <t>Honey………………………………</t>
  </si>
  <si>
    <t>Bees wax………………………………</t>
  </si>
  <si>
    <t>Private Universities</t>
  </si>
  <si>
    <t>Total Diploma</t>
  </si>
  <si>
    <t xml:space="preserve"> Total Area (Ha)</t>
  </si>
  <si>
    <t xml:space="preserve"> Total Quantity ('000'Ton)</t>
  </si>
  <si>
    <t>Unit Prices KSh per 100Kg</t>
  </si>
  <si>
    <t xml:space="preserve"> Total Value (KShs Million)</t>
  </si>
  <si>
    <t>Total Area(Ha) 2023</t>
  </si>
  <si>
    <t>Total Quantity('000'Tons) 2023</t>
  </si>
  <si>
    <t>Banana</t>
  </si>
  <si>
    <t>Cassava</t>
  </si>
  <si>
    <t>Tomato</t>
  </si>
  <si>
    <t>Avocado</t>
  </si>
  <si>
    <t>Mangoes</t>
  </si>
  <si>
    <t>Kales</t>
  </si>
  <si>
    <t>Sweet Potatoes</t>
  </si>
  <si>
    <t>Cabbage</t>
  </si>
  <si>
    <t>Bulb Onions</t>
  </si>
  <si>
    <t>Coconut</t>
  </si>
  <si>
    <t>Garden Peas</t>
  </si>
  <si>
    <t>Watermelon</t>
  </si>
  <si>
    <t>Pigeon Peas</t>
  </si>
  <si>
    <t>Pineapples</t>
  </si>
  <si>
    <t>Groundnuts</t>
  </si>
  <si>
    <t>Passion fruits</t>
  </si>
  <si>
    <t>Macadamia</t>
  </si>
  <si>
    <t>Cowpea</t>
  </si>
  <si>
    <t>Spring Onions</t>
  </si>
  <si>
    <t>Sesame (Simsim)</t>
  </si>
  <si>
    <t>Canola</t>
  </si>
  <si>
    <t>Soya Beans</t>
  </si>
  <si>
    <t>Cashew nuts</t>
  </si>
  <si>
    <t xml:space="preserve">African Bird's Eye Chillis </t>
  </si>
  <si>
    <t>Sunflower</t>
  </si>
  <si>
    <t xml:space="preserve">Indicator </t>
  </si>
  <si>
    <t>Numbers</t>
  </si>
  <si>
    <t>Leather Value Chain Development (Incomes)-Average</t>
  </si>
  <si>
    <t>KSh</t>
  </si>
  <si>
    <t>('000') KSh</t>
  </si>
  <si>
    <t>Market Share of processed milk</t>
  </si>
  <si>
    <t>Per cent</t>
  </si>
  <si>
    <t>Market Share of formally Marketed Milk</t>
  </si>
  <si>
    <t>Food Price Anomalies</t>
  </si>
  <si>
    <t>Index</t>
  </si>
  <si>
    <t>Food Loss Index</t>
  </si>
  <si>
    <t>Agriculture Orientation Index</t>
  </si>
  <si>
    <t>Marketed Milk Production………………</t>
  </si>
  <si>
    <t>Milk Production……………</t>
  </si>
  <si>
    <t>Agricultural Societies:</t>
  </si>
  <si>
    <t>Non-Agricultural Societies:</t>
  </si>
  <si>
    <t>Sub- Total</t>
  </si>
  <si>
    <r>
      <t>Table 7.1: Agriculture Output and Intermediate Consumption</t>
    </r>
    <r>
      <rPr>
        <b/>
        <vertAlign val="superscript"/>
        <sz val="10"/>
        <color rgb="FF993300"/>
        <rFont val="Arno Pro"/>
        <family val="1"/>
      </rPr>
      <t>1</t>
    </r>
    <r>
      <rPr>
        <b/>
        <sz val="10"/>
        <color rgb="FF993300"/>
        <rFont val="Arno Pro"/>
        <family val="1"/>
      </rPr>
      <t>, 2019-2023</t>
    </r>
  </si>
  <si>
    <t>Table 7.6: Estimated Production of Selected Agricultural Commodities, 2019– 2023</t>
  </si>
  <si>
    <t>Table 7.7: Average Retail Market Prices of Selected Food Crops, 2019- 2023</t>
  </si>
  <si>
    <t>Table 7.8: Sale of Selected Crops to Marketing Boards, 2019-2023</t>
  </si>
  <si>
    <t>Table 7.9: Production and Imports of Wheat, 2019– 2023</t>
  </si>
  <si>
    <t>Table 7.10: Production, Area and Average Yield of Coffee by Type of Grower, 2018/2019-2022/23</t>
  </si>
  <si>
    <t xml:space="preserve">Table 7.11: Production, Area and Average Yield of Tea by Type of Grower, 2019-2023 </t>
  </si>
  <si>
    <t>Table 7.12: Planted Area, Area Harvested, Production and Average Yield of Sugarcane, 2019- 2023</t>
  </si>
  <si>
    <t>Table 7.13: Production, Imports and Exports of Sugar, 2019-2023</t>
  </si>
  <si>
    <r>
      <t>Table 7.14: Exports of Fresh Horticultural Produce</t>
    </r>
    <r>
      <rPr>
        <b/>
        <vertAlign val="superscript"/>
        <sz val="10"/>
        <color rgb="FF8E1900"/>
        <rFont val="Arno Pro"/>
        <family val="1"/>
      </rPr>
      <t>1</t>
    </r>
    <r>
      <rPr>
        <b/>
        <sz val="10"/>
        <color rgb="FF8E1900"/>
        <rFont val="Arno Pro"/>
        <family val="1"/>
      </rPr>
      <t>, 2019-2023</t>
    </r>
  </si>
  <si>
    <t>Table 7.15: Rice Paddy Production of Irrigation Schemes, 2018/19-2022/23</t>
  </si>
  <si>
    <t>Table 7.16: Pyrethrum Flowers and Extract Production, Prices and Value, 2019-2023</t>
  </si>
  <si>
    <t>Table 7.17: Livestock Products and Livestock Slaughtered, 2019-2023</t>
  </si>
  <si>
    <t>Table 7.18: Enrolment in Agricultural Training Courses, 2019-2023</t>
  </si>
  <si>
    <t>Table 7.19: Number of Societies and Unions, 2019 – 2023</t>
  </si>
  <si>
    <t>Table 7.20: Area, Production, Unit Prices and Value of Selected Crops, 2022-2023</t>
  </si>
  <si>
    <t>Table 7.21: Other Agricultural Indicators, 2019-2023</t>
  </si>
  <si>
    <t>Jobs in Leather Value Chain</t>
  </si>
  <si>
    <t xml:space="preserve">Leather Value Chain Development (Incomes)-Total </t>
  </si>
  <si>
    <t>Annual Milk Production</t>
  </si>
  <si>
    <t>000' Tonnes</t>
  </si>
  <si>
    <t>Cotton Ginneries</t>
  </si>
  <si>
    <t>Source: Kenya National Bureau of Statistics and Ministry of Agriculture and Livestock Development</t>
  </si>
  <si>
    <t>Table 7.22: Food Balance Sheet, 2019-2023</t>
  </si>
  <si>
    <t>Calories - '000……………</t>
  </si>
  <si>
    <t>Proteins - Grams…………</t>
  </si>
  <si>
    <t>Fats - Grams………………</t>
  </si>
  <si>
    <t>Total………………………</t>
  </si>
  <si>
    <t>Vegetable Products………..</t>
  </si>
  <si>
    <t>Animal Products……………</t>
  </si>
  <si>
    <t>Fishery Products ……………</t>
  </si>
  <si>
    <t>Animal Products………….</t>
  </si>
  <si>
    <t>Vegetable Products - '000 Kcl.</t>
  </si>
  <si>
    <t>Animal Products - '000 Kcl….</t>
  </si>
  <si>
    <t xml:space="preserve"> 2023* </t>
  </si>
  <si>
    <r>
      <t xml:space="preserve">    </t>
    </r>
    <r>
      <rPr>
        <i/>
        <sz val="10"/>
        <color indexed="8"/>
        <rFont val="Arno Pro"/>
        <family val="1"/>
      </rPr>
      <t>Of which</t>
    </r>
    <r>
      <rPr>
        <sz val="10"/>
        <color indexed="8"/>
        <rFont val="Arno Pro"/>
        <family val="1"/>
      </rPr>
      <t xml:space="preserve"> Cereals - '000 Kcl…………..</t>
    </r>
  </si>
  <si>
    <r>
      <rPr>
        <vertAlign val="superscript"/>
        <sz val="10"/>
        <color theme="1"/>
        <rFont val="Arno Pro"/>
        <family val="1"/>
      </rPr>
      <t>1</t>
    </r>
    <r>
      <rPr>
        <sz val="10"/>
        <color theme="1"/>
        <rFont val="Arno Pro"/>
        <family val="1"/>
      </rPr>
      <t xml:space="preserve"> Contains Fishery Products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</si>
</sst>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43" formatCode="_(* #,##0.00_);_(* \(#,##0.00\);_(* &quot;-&quot;??_);_(@_)"/>
    <numFmt numFmtId="164" formatCode="_-* #,##0.00_-;\-* #,##0.00_-;_-* &quot;-&quot;??_-;_-@_-"/>
    <numFmt numFmtId="165" formatCode="@*."/>
    <numFmt numFmtId="166" formatCode="_-* #,##0.0_-;\-* #,##0.0_-;_-* &quot;-&quot;??_-;_-@_-"/>
    <numFmt numFmtId="167" formatCode="0.0"/>
    <numFmt numFmtId="168" formatCode="_(* #,##0_);_(* \(#,##0\);_(* &quot;-&quot;??_);_(@_)"/>
    <numFmt numFmtId="169" formatCode="_(* #,##0.0_);_(* \(#,##0.0\);_(* &quot;-&quot;??_);_(@_)"/>
    <numFmt numFmtId="170" formatCode="#,##0.0\ \ \ \ \ ;\-#,##0.0"/>
    <numFmt numFmtId="171" formatCode="#,##0.0000"/>
    <numFmt numFmtId="172" formatCode="#,##0.00\ ;\(#,##0.00\)"/>
    <numFmt numFmtId="173" formatCode="_-* #,##0_-;\-* #,##0_-;_-* &quot;-&quot;??_-;_-@_-"/>
    <numFmt numFmtId="174" formatCode="#,##0.0"/>
    <numFmt numFmtId="175" formatCode="#,##0.0\ ;\-#,##0.0"/>
    <numFmt numFmtId="176" formatCode="#,##0.0_)\ \ \ ;\(#,##0.0\)"/>
    <numFmt numFmtId="177" formatCode="_(* #,##0.000_);_(* \(#,##0.000\);_(* &quot;-&quot;??_);_(@_)"/>
    <numFmt numFmtId="178" formatCode="_(* #,##0.0000_);_(* \(#,##0.0000\);_(* &quot;-&quot;??_);_(@_)"/>
    <numFmt numFmtId="179" formatCode="_(* #,##0.0_)\ \ \ \ ;_(* \(#,##0.0\);_(* &quot;-&quot;??_);_(@_)"/>
    <numFmt numFmtId="180" formatCode="_-* #,##0.0000_-;\-* #,##0.0000_-;_-* &quot;-&quot;??_-;_-@_-"/>
    <numFmt numFmtId="181" formatCode="_-* #,##0.0_-;\-* #,##0.0_-;_-* &quot;-&quot;?_-;_-@_-"/>
    <numFmt numFmtId="182" formatCode="#,##0.0000000000000000_ ;\-#,##0.0000000000000000\ "/>
    <numFmt numFmtId="183" formatCode="#,##0.000"/>
    <numFmt numFmtId="184" formatCode="#,##0.0_ ;\-#,##0.0\ "/>
  </numFmts>
  <fonts count="5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no Pro"/>
      <family val="1"/>
    </font>
    <font>
      <b/>
      <sz val="10"/>
      <color rgb="FF993300"/>
      <name val="Arno Pro"/>
      <family val="1"/>
    </font>
    <font>
      <sz val="10"/>
      <color theme="1"/>
      <name val="Arno Pro"/>
      <family val="1"/>
    </font>
    <font>
      <b/>
      <sz val="10"/>
      <color rgb="FF632423"/>
      <name val="Arno Pro"/>
      <family val="1"/>
    </font>
    <font>
      <b/>
      <sz val="10"/>
      <color theme="1"/>
      <name val="Arno Pro"/>
      <family val="1"/>
    </font>
    <font>
      <b/>
      <sz val="10"/>
      <name val="Arno Pro"/>
      <family val="1"/>
    </font>
    <font>
      <b/>
      <sz val="10"/>
      <color rgb="FF8E1900"/>
      <name val="Arno Pro"/>
      <family val="1"/>
    </font>
    <font>
      <sz val="10"/>
      <color rgb="FF000000"/>
      <name val="Arno Pro"/>
      <family val="1"/>
    </font>
    <font>
      <sz val="10"/>
      <name val="Arno Pro"/>
      <family val="1"/>
    </font>
    <font>
      <sz val="10"/>
      <color theme="1"/>
      <name val="Calibri"/>
      <family val="2"/>
      <scheme val="minor"/>
    </font>
    <font>
      <sz val="10"/>
      <color indexed="8"/>
      <name val="Arno Pro"/>
      <family val="1"/>
    </font>
    <font>
      <b/>
      <sz val="10"/>
      <color indexed="8"/>
      <name val="Arno Pro"/>
      <family val="1"/>
    </font>
    <font>
      <sz val="8"/>
      <name val="Arno Pro"/>
      <family val="1"/>
    </font>
    <font>
      <sz val="11"/>
      <color rgb="FF8E1900"/>
      <name val="Calibri"/>
      <family val="2"/>
      <scheme val="minor"/>
    </font>
    <font>
      <sz val="10"/>
      <color rgb="FF8E1900"/>
      <name val="Arno Pro"/>
      <family val="1"/>
    </font>
    <font>
      <vertAlign val="superscript"/>
      <sz val="10"/>
      <name val="Arno Pro"/>
      <family val="1"/>
    </font>
    <font>
      <sz val="10"/>
      <color theme="1"/>
      <name val="Ano pro"/>
      <charset val="134"/>
    </font>
    <font>
      <i/>
      <sz val="10"/>
      <name val="Arno Pro"/>
      <family val="1"/>
    </font>
    <font>
      <vertAlign val="superscript"/>
      <sz val="10"/>
      <color theme="1"/>
      <name val="Arno Pro"/>
      <family val="1"/>
    </font>
    <font>
      <sz val="8"/>
      <color theme="1"/>
      <name val="Arial"/>
      <family val="2"/>
    </font>
    <font>
      <sz val="8"/>
      <name val="Arial"/>
      <family val="2"/>
    </font>
    <font>
      <b/>
      <i/>
      <sz val="10"/>
      <name val="Arno Pro"/>
      <family val="1"/>
    </font>
    <font>
      <sz val="12"/>
      <color theme="1"/>
      <name val="Footlight MT Light"/>
      <family val="1"/>
    </font>
    <font>
      <sz val="11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Arial"/>
      <family val="2"/>
    </font>
    <font>
      <vertAlign val="superscript"/>
      <sz val="10"/>
      <color indexed="8"/>
      <name val="Arno Pro"/>
      <family val="1"/>
    </font>
    <font>
      <b/>
      <vertAlign val="superscript"/>
      <sz val="10"/>
      <color rgb="FF8E1900"/>
      <name val="Arno Pro"/>
      <family val="1"/>
    </font>
    <font>
      <b/>
      <vertAlign val="superscript"/>
      <sz val="10"/>
      <name val="Arno Pro"/>
      <family val="1"/>
    </font>
    <font>
      <b/>
      <vertAlign val="superscript"/>
      <sz val="10"/>
      <color rgb="FF993300"/>
      <name val="Arno Pro"/>
      <family val="1"/>
    </font>
    <font>
      <sz val="11"/>
      <color theme="1"/>
      <name val="Calibri"/>
      <family val="2"/>
      <scheme val="minor"/>
    </font>
    <font>
      <sz val="10"/>
      <color rgb="FFFF0000"/>
      <name val="Arno Pro"/>
      <family val="1"/>
    </font>
    <font>
      <sz val="10"/>
      <name val="Arno Pro"/>
      <family val="1"/>
    </font>
    <font>
      <b/>
      <vertAlign val="superscript"/>
      <sz val="10"/>
      <color theme="1"/>
      <name val="Arno Pro"/>
      <family val="1"/>
    </font>
    <font>
      <sz val="10"/>
      <color indexed="8"/>
      <name val="Arno Pro"/>
      <family val="1"/>
    </font>
    <font>
      <sz val="10"/>
      <color indexed="8"/>
      <name val="Arno Pro"/>
      <family val="1"/>
    </font>
    <font>
      <vertAlign val="superscript"/>
      <sz val="9"/>
      <name val="Arno Pro"/>
      <family val="1"/>
    </font>
    <font>
      <sz val="9"/>
      <name val="Arno Pro"/>
      <family val="1"/>
    </font>
    <font>
      <sz val="9"/>
      <color rgb="FFFF0000"/>
      <name val="Arno Pro"/>
      <family val="1"/>
    </font>
    <font>
      <b/>
      <sz val="8"/>
      <name val="Arno Pro"/>
      <family val="1"/>
    </font>
    <font>
      <b/>
      <sz val="10"/>
      <name val="Arno Pro"/>
      <family val="1"/>
    </font>
    <font>
      <b/>
      <sz val="10"/>
      <color theme="1"/>
      <name val="Arno Pro"/>
      <family val="1"/>
    </font>
    <font>
      <sz val="10"/>
      <color theme="1"/>
      <name val="Arno Pro"/>
      <family val="1"/>
    </font>
    <font>
      <sz val="11"/>
      <color theme="1"/>
      <name val="Arno Pro"/>
      <family val="1"/>
    </font>
    <font>
      <sz val="10"/>
      <name val="Arno Pro"/>
      <family val="1"/>
    </font>
    <font>
      <sz val="11"/>
      <color theme="1"/>
      <name val="Arno Pro"/>
      <family val="1"/>
    </font>
    <font>
      <b/>
      <sz val="10"/>
      <color rgb="FF632423"/>
      <name val="Times New Roman"/>
      <family val="1"/>
    </font>
    <font>
      <b/>
      <sz val="8"/>
      <name val="Arno Pro"/>
      <family val="1"/>
    </font>
    <font>
      <b/>
      <sz val="10"/>
      <color theme="1"/>
      <name val="Arno Pro"/>
      <family val="1"/>
    </font>
    <font>
      <sz val="10"/>
      <color theme="1"/>
      <name val="Arno Pro"/>
      <family val="1"/>
    </font>
    <font>
      <i/>
      <sz val="10"/>
      <color indexed="8"/>
      <name val="Arno Pro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</fills>
  <borders count="60">
    <border>
      <left/>
      <right/>
      <top/>
      <bottom/>
      <diagonal/>
    </border>
    <border>
      <left style="medium">
        <color rgb="FF993300"/>
      </left>
      <right style="medium">
        <color rgb="FF993300"/>
      </right>
      <top style="medium">
        <color rgb="FF993300"/>
      </top>
      <bottom style="medium">
        <color rgb="FF993300"/>
      </bottom>
      <diagonal/>
    </border>
    <border>
      <left style="medium">
        <color rgb="FF993300"/>
      </left>
      <right/>
      <top style="medium">
        <color rgb="FF993300"/>
      </top>
      <bottom style="medium">
        <color rgb="FF993300"/>
      </bottom>
      <diagonal/>
    </border>
    <border>
      <left style="medium">
        <color rgb="FF993300"/>
      </left>
      <right style="medium">
        <color rgb="FF993300"/>
      </right>
      <top style="medium">
        <color rgb="FF993300"/>
      </top>
      <bottom style="thin">
        <color rgb="FF993300"/>
      </bottom>
      <diagonal/>
    </border>
    <border>
      <left style="medium">
        <color rgb="FF993300"/>
      </left>
      <right/>
      <top style="medium">
        <color rgb="FF993300"/>
      </top>
      <bottom style="thin">
        <color rgb="FF993300"/>
      </bottom>
      <diagonal/>
    </border>
    <border>
      <left style="medium">
        <color rgb="FF993300"/>
      </left>
      <right style="medium">
        <color rgb="FF993300"/>
      </right>
      <top style="thin">
        <color rgb="FF993300"/>
      </top>
      <bottom style="thin">
        <color rgb="FF993300"/>
      </bottom>
      <diagonal/>
    </border>
    <border>
      <left style="medium">
        <color rgb="FF993300"/>
      </left>
      <right/>
      <top style="thin">
        <color rgb="FF993300"/>
      </top>
      <bottom style="thin">
        <color rgb="FF993300"/>
      </bottom>
      <diagonal/>
    </border>
    <border>
      <left style="medium">
        <color rgb="FF993300"/>
      </left>
      <right style="medium">
        <color rgb="FF993300"/>
      </right>
      <top style="thin">
        <color rgb="FF993300"/>
      </top>
      <bottom style="medium">
        <color rgb="FF993300"/>
      </bottom>
      <diagonal/>
    </border>
    <border>
      <left style="medium">
        <color rgb="FF993300"/>
      </left>
      <right/>
      <top style="thin">
        <color rgb="FF993300"/>
      </top>
      <bottom style="medium">
        <color rgb="FF993300"/>
      </bottom>
      <diagonal/>
    </border>
    <border>
      <left/>
      <right style="thin">
        <color rgb="FF993300"/>
      </right>
      <top style="thin">
        <color rgb="FF993300"/>
      </top>
      <bottom style="thin">
        <color rgb="FF993300"/>
      </bottom>
      <diagonal/>
    </border>
    <border>
      <left style="thin">
        <color rgb="FF993300"/>
      </left>
      <right style="thin">
        <color rgb="FF993300"/>
      </right>
      <top style="thin">
        <color rgb="FF993300"/>
      </top>
      <bottom style="thin">
        <color rgb="FF993300"/>
      </bottom>
      <diagonal/>
    </border>
    <border>
      <left/>
      <right style="thin">
        <color rgb="FF993300"/>
      </right>
      <top style="thin">
        <color rgb="FF993300"/>
      </top>
      <bottom/>
      <diagonal/>
    </border>
    <border>
      <left style="thin">
        <color rgb="FF993300"/>
      </left>
      <right/>
      <top style="thin">
        <color rgb="FF993300"/>
      </top>
      <bottom/>
      <diagonal/>
    </border>
    <border>
      <left/>
      <right/>
      <top style="thin">
        <color rgb="FF993300"/>
      </top>
      <bottom/>
      <diagonal/>
    </border>
    <border>
      <left/>
      <right style="thin">
        <color rgb="FF993300"/>
      </right>
      <top/>
      <bottom/>
      <diagonal/>
    </border>
    <border>
      <left style="thin">
        <color rgb="FF993300"/>
      </left>
      <right/>
      <top/>
      <bottom/>
      <diagonal/>
    </border>
    <border>
      <left/>
      <right style="thin">
        <color rgb="FF993300"/>
      </right>
      <top/>
      <bottom style="thin">
        <color rgb="FF993300"/>
      </bottom>
      <diagonal/>
    </border>
    <border>
      <left style="thin">
        <color rgb="FF993300"/>
      </left>
      <right/>
      <top/>
      <bottom style="thin">
        <color rgb="FF993300"/>
      </bottom>
      <diagonal/>
    </border>
    <border>
      <left/>
      <right/>
      <top/>
      <bottom style="thin">
        <color rgb="FF993300"/>
      </bottom>
      <diagonal/>
    </border>
    <border>
      <left style="thin">
        <color rgb="FF993300"/>
      </left>
      <right/>
      <top style="thin">
        <color rgb="FF993300"/>
      </top>
      <bottom style="thin">
        <color rgb="FF993300"/>
      </bottom>
      <diagonal/>
    </border>
    <border>
      <left/>
      <right/>
      <top style="thin">
        <color rgb="FF993300"/>
      </top>
      <bottom style="thin">
        <color rgb="FF993300"/>
      </bottom>
      <diagonal/>
    </border>
    <border>
      <left style="thin">
        <color rgb="FF993300"/>
      </left>
      <right style="thin">
        <color rgb="FF993300"/>
      </right>
      <top style="thin">
        <color rgb="FF993300"/>
      </top>
      <bottom/>
      <diagonal/>
    </border>
    <border>
      <left style="thin">
        <color rgb="FF993300"/>
      </left>
      <right style="thin">
        <color rgb="FF993300"/>
      </right>
      <top/>
      <bottom/>
      <diagonal/>
    </border>
    <border>
      <left style="thin">
        <color rgb="FF993300"/>
      </left>
      <right style="thin">
        <color rgb="FF993300"/>
      </right>
      <top/>
      <bottom style="thin">
        <color rgb="FF993300"/>
      </bottom>
      <diagonal/>
    </border>
    <border>
      <left/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 style="thin">
        <color theme="5" tint="-0.24994659260841701"/>
      </right>
      <top/>
      <bottom/>
      <diagonal/>
    </border>
    <border>
      <left style="thin">
        <color theme="5" tint="-0.24994659260841701"/>
      </left>
      <right style="thin">
        <color theme="5" tint="-0.24994659260841701"/>
      </right>
      <top/>
      <bottom/>
      <diagonal/>
    </border>
    <border>
      <left style="thin">
        <color theme="5" tint="-0.24994659260841701"/>
      </left>
      <right/>
      <top/>
      <bottom/>
      <diagonal/>
    </border>
    <border>
      <left style="thin">
        <color theme="5" tint="-0.24994659260841701"/>
      </left>
      <right/>
      <top style="thin">
        <color theme="5" tint="-0.24994659260841701"/>
      </top>
      <bottom/>
      <diagonal/>
    </border>
    <border>
      <left/>
      <right style="thin">
        <color theme="5" tint="-0.24994659260841701"/>
      </right>
      <top/>
      <bottom style="thin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/>
      <bottom style="thin">
        <color theme="5" tint="-0.24994659260841701"/>
      </bottom>
      <diagonal/>
    </border>
    <border>
      <left style="thin">
        <color theme="5" tint="-0.24994659260841701"/>
      </left>
      <right/>
      <top/>
      <bottom style="thin">
        <color theme="5" tint="-0.24994659260841701"/>
      </bottom>
      <diagonal/>
    </border>
    <border>
      <left/>
      <right style="thin">
        <color theme="9" tint="-0.24994659260841701"/>
      </right>
      <top/>
      <bottom/>
      <diagonal/>
    </border>
    <border>
      <left style="thin">
        <color theme="9" tint="-0.24994659260841701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 style="thin">
        <color rgb="FFC00000"/>
      </left>
      <right style="thin">
        <color rgb="FFC00000"/>
      </right>
      <top/>
      <bottom/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/>
      <top/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 style="thin">
        <color rgb="FF993300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theme="5" tint="-0.24994659260841701"/>
      </right>
      <top style="thin">
        <color theme="5" tint="-0.24994659260841701"/>
      </top>
      <bottom/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/>
      <diagonal/>
    </border>
    <border>
      <left/>
      <right style="thin">
        <color rgb="FFCC6600"/>
      </right>
      <top/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/>
      <bottom style="thin">
        <color indexed="64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indexed="64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/>
      <right/>
      <top/>
      <bottom style="thin">
        <color theme="5" tint="-0.24994659260841701"/>
      </bottom>
      <diagonal/>
    </border>
    <border>
      <left/>
      <right style="thin">
        <color indexed="64"/>
      </right>
      <top style="thin">
        <color rgb="FF993300"/>
      </top>
      <bottom style="thin">
        <color rgb="FF993300"/>
      </bottom>
      <diagonal/>
    </border>
    <border>
      <left style="thin">
        <color indexed="64"/>
      </left>
      <right style="thin">
        <color rgb="FF993300"/>
      </right>
      <top style="thin">
        <color rgb="FF993300"/>
      </top>
      <bottom style="thin">
        <color rgb="FF993300"/>
      </bottom>
      <diagonal/>
    </border>
  </borders>
  <cellStyleXfs count="9">
    <xf numFmtId="0" fontId="0" fillId="0" borderId="0"/>
    <xf numFmtId="43" fontId="33" fillId="0" borderId="0" applyFont="0" applyFill="0" applyBorder="0" applyAlignment="0" applyProtection="0"/>
    <xf numFmtId="0" fontId="27" fillId="3" borderId="0" applyNumberFormat="0" applyBorder="0" applyAlignment="0" applyProtection="0"/>
    <xf numFmtId="164" fontId="33" fillId="0" borderId="0" applyFont="0" applyFill="0" applyBorder="0" applyAlignment="0" applyProtection="0"/>
    <xf numFmtId="43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0" fontId="33" fillId="0" borderId="0"/>
    <xf numFmtId="0" fontId="33" fillId="0" borderId="0"/>
    <xf numFmtId="0" fontId="28" fillId="0" borderId="0"/>
  </cellStyleXfs>
  <cellXfs count="521">
    <xf numFmtId="0" fontId="0" fillId="0" borderId="0" xfId="0"/>
    <xf numFmtId="0" fontId="33" fillId="0" borderId="0" xfId="7"/>
    <xf numFmtId="0" fontId="4" fillId="0" borderId="0" xfId="0" applyFont="1"/>
    <xf numFmtId="0" fontId="5" fillId="0" borderId="0" xfId="7" applyFont="1"/>
    <xf numFmtId="0" fontId="5" fillId="0" borderId="14" xfId="0" applyFont="1" applyBorder="1"/>
    <xf numFmtId="167" fontId="5" fillId="0" borderId="0" xfId="0" applyNumberFormat="1" applyFont="1"/>
    <xf numFmtId="0" fontId="5" fillId="0" borderId="16" xfId="0" applyFont="1" applyBorder="1"/>
    <xf numFmtId="0" fontId="7" fillId="0" borderId="9" xfId="0" applyFont="1" applyBorder="1"/>
    <xf numFmtId="0" fontId="9" fillId="0" borderId="0" xfId="0" applyFont="1"/>
    <xf numFmtId="0" fontId="5" fillId="0" borderId="0" xfId="0" applyFont="1"/>
    <xf numFmtId="0" fontId="10" fillId="0" borderId="0" xfId="0" applyFont="1"/>
    <xf numFmtId="0" fontId="11" fillId="0" borderId="0" xfId="0" applyFont="1"/>
    <xf numFmtId="0" fontId="10" fillId="0" borderId="20" xfId="0" applyFont="1" applyBorder="1"/>
    <xf numFmtId="0" fontId="8" fillId="0" borderId="9" xfId="0" applyFont="1" applyBorder="1"/>
    <xf numFmtId="0" fontId="8" fillId="0" borderId="10" xfId="0" applyFont="1" applyBorder="1" applyAlignment="1">
      <alignment horizontal="right"/>
    </xf>
    <xf numFmtId="0" fontId="8" fillId="0" borderId="19" xfId="0" applyFont="1" applyBorder="1" applyAlignment="1">
      <alignment horizontal="right"/>
    </xf>
    <xf numFmtId="0" fontId="11" fillId="0" borderId="13" xfId="0" applyFont="1" applyBorder="1"/>
    <xf numFmtId="0" fontId="8" fillId="0" borderId="11" xfId="0" applyFont="1" applyBorder="1"/>
    <xf numFmtId="0" fontId="8" fillId="0" borderId="12" xfId="0" applyFont="1" applyBorder="1" applyAlignment="1">
      <alignment horizontal="right"/>
    </xf>
    <xf numFmtId="0" fontId="5" fillId="0" borderId="22" xfId="0" applyFont="1" applyBorder="1"/>
    <xf numFmtId="165" fontId="11" fillId="0" borderId="14" xfId="0" applyNumberFormat="1" applyFont="1" applyBorder="1"/>
    <xf numFmtId="168" fontId="11" fillId="0" borderId="15" xfId="0" applyNumberFormat="1" applyFont="1" applyBorder="1" applyAlignment="1">
      <alignment horizontal="right" vertical="center"/>
    </xf>
    <xf numFmtId="165" fontId="8" fillId="0" borderId="14" xfId="0" applyNumberFormat="1" applyFont="1" applyBorder="1"/>
    <xf numFmtId="168" fontId="8" fillId="0" borderId="22" xfId="0" applyNumberFormat="1" applyFont="1" applyBorder="1" applyAlignment="1">
      <alignment horizontal="right" vertical="center"/>
    </xf>
    <xf numFmtId="168" fontId="8" fillId="0" borderId="15" xfId="0" applyNumberFormat="1" applyFont="1" applyBorder="1" applyAlignment="1">
      <alignment horizontal="right" vertical="center"/>
    </xf>
    <xf numFmtId="0" fontId="11" fillId="0" borderId="14" xfId="0" applyFont="1" applyBorder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5" fillId="0" borderId="12" xfId="0" applyFont="1" applyBorder="1"/>
    <xf numFmtId="0" fontId="12" fillId="0" borderId="0" xfId="0" applyFont="1"/>
    <xf numFmtId="0" fontId="13" fillId="0" borderId="0" xfId="0" applyFont="1" applyAlignment="1">
      <alignment horizontal="right" vertical="top" wrapText="1"/>
    </xf>
    <xf numFmtId="0" fontId="13" fillId="0" borderId="11" xfId="0" applyFont="1" applyBorder="1" applyAlignment="1">
      <alignment horizontal="right" vertical="top" wrapText="1"/>
    </xf>
    <xf numFmtId="0" fontId="13" fillId="0" borderId="16" xfId="0" applyFont="1" applyBorder="1" applyAlignment="1">
      <alignment horizontal="right" vertical="top" wrapText="1"/>
    </xf>
    <xf numFmtId="0" fontId="14" fillId="0" borderId="19" xfId="0" applyFont="1" applyBorder="1" applyAlignment="1">
      <alignment horizontal="right" vertical="top" wrapText="1"/>
    </xf>
    <xf numFmtId="0" fontId="14" fillId="0" borderId="20" xfId="0" applyFont="1" applyBorder="1" applyAlignment="1">
      <alignment horizontal="right" vertical="top" wrapText="1"/>
    </xf>
    <xf numFmtId="0" fontId="14" fillId="0" borderId="9" xfId="0" applyFont="1" applyBorder="1" applyAlignment="1">
      <alignment horizontal="right" vertical="top" wrapText="1"/>
    </xf>
    <xf numFmtId="0" fontId="14" fillId="0" borderId="11" xfId="0" applyFont="1" applyBorder="1" applyAlignment="1">
      <alignment vertical="top" wrapText="1"/>
    </xf>
    <xf numFmtId="0" fontId="13" fillId="0" borderId="15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top" wrapText="1"/>
    </xf>
    <xf numFmtId="165" fontId="13" fillId="0" borderId="14" xfId="0" applyNumberFormat="1" applyFont="1" applyBorder="1" applyAlignment="1">
      <alignment vertical="top"/>
    </xf>
    <xf numFmtId="3" fontId="13" fillId="0" borderId="15" xfId="3" applyNumberFormat="1" applyFont="1" applyBorder="1" applyAlignment="1">
      <alignment horizontal="right" wrapText="1"/>
    </xf>
    <xf numFmtId="3" fontId="13" fillId="0" borderId="0" xfId="3" applyNumberFormat="1" applyFont="1" applyBorder="1" applyAlignment="1">
      <alignment horizontal="right" wrapText="1"/>
    </xf>
    <xf numFmtId="3" fontId="13" fillId="0" borderId="14" xfId="3" applyNumberFormat="1" applyFont="1" applyBorder="1" applyAlignment="1">
      <alignment horizontal="right" wrapText="1"/>
    </xf>
    <xf numFmtId="0" fontId="14" fillId="0" borderId="14" xfId="0" applyFont="1" applyBorder="1" applyAlignment="1">
      <alignment vertical="top" wrapText="1"/>
    </xf>
    <xf numFmtId="3" fontId="11" fillId="0" borderId="15" xfId="0" applyNumberFormat="1" applyFont="1" applyBorder="1" applyAlignment="1">
      <alignment horizontal="right"/>
    </xf>
    <xf numFmtId="3" fontId="11" fillId="0" borderId="0" xfId="0" applyNumberFormat="1" applyFont="1" applyAlignment="1">
      <alignment horizontal="right"/>
    </xf>
    <xf numFmtId="3" fontId="11" fillId="0" borderId="14" xfId="0" applyNumberFormat="1" applyFont="1" applyBorder="1" applyAlignment="1">
      <alignment horizontal="right"/>
    </xf>
    <xf numFmtId="3" fontId="13" fillId="0" borderId="15" xfId="3" applyNumberFormat="1" applyFont="1" applyFill="1" applyBorder="1" applyAlignment="1">
      <alignment horizontal="right" wrapText="1"/>
    </xf>
    <xf numFmtId="3" fontId="13" fillId="0" borderId="0" xfId="3" applyNumberFormat="1" applyFont="1" applyFill="1" applyBorder="1" applyAlignment="1">
      <alignment horizontal="right" wrapText="1"/>
    </xf>
    <xf numFmtId="3" fontId="13" fillId="0" borderId="14" xfId="3" applyNumberFormat="1" applyFont="1" applyFill="1" applyBorder="1" applyAlignment="1">
      <alignment horizontal="right" wrapText="1"/>
    </xf>
    <xf numFmtId="165" fontId="14" fillId="0" borderId="14" xfId="0" applyNumberFormat="1" applyFont="1" applyBorder="1" applyAlignment="1">
      <alignment vertical="top"/>
    </xf>
    <xf numFmtId="3" fontId="14" fillId="0" borderId="15" xfId="3" applyNumberFormat="1" applyFont="1" applyBorder="1" applyAlignment="1">
      <alignment horizontal="right" wrapText="1"/>
    </xf>
    <xf numFmtId="3" fontId="14" fillId="0" borderId="0" xfId="3" applyNumberFormat="1" applyFont="1" applyBorder="1" applyAlignment="1">
      <alignment horizontal="right" wrapText="1"/>
    </xf>
    <xf numFmtId="3" fontId="14" fillId="0" borderId="14" xfId="3" applyNumberFormat="1" applyFont="1" applyBorder="1" applyAlignment="1">
      <alignment horizontal="right" wrapText="1"/>
    </xf>
    <xf numFmtId="0" fontId="14" fillId="0" borderId="14" xfId="0" applyFont="1" applyBorder="1" applyAlignment="1">
      <alignment vertical="top"/>
    </xf>
    <xf numFmtId="165" fontId="14" fillId="0" borderId="16" xfId="0" applyNumberFormat="1" applyFont="1" applyBorder="1" applyAlignment="1">
      <alignment vertical="top"/>
    </xf>
    <xf numFmtId="3" fontId="14" fillId="0" borderId="17" xfId="3" applyNumberFormat="1" applyFont="1" applyBorder="1" applyAlignment="1">
      <alignment horizontal="right" wrapText="1"/>
    </xf>
    <xf numFmtId="3" fontId="14" fillId="0" borderId="18" xfId="3" applyNumberFormat="1" applyFont="1" applyBorder="1" applyAlignment="1">
      <alignment horizontal="right" wrapText="1"/>
    </xf>
    <xf numFmtId="3" fontId="14" fillId="0" borderId="16" xfId="3" applyNumberFormat="1" applyFont="1" applyBorder="1" applyAlignment="1">
      <alignment horizontal="right" wrapText="1"/>
    </xf>
    <xf numFmtId="0" fontId="13" fillId="0" borderId="0" xfId="0" applyFont="1" applyAlignment="1">
      <alignment vertical="top" wrapText="1"/>
    </xf>
    <xf numFmtId="3" fontId="14" fillId="0" borderId="15" xfId="3" applyNumberFormat="1" applyFont="1" applyFill="1" applyBorder="1" applyAlignment="1">
      <alignment horizontal="right" wrapText="1"/>
    </xf>
    <xf numFmtId="3" fontId="14" fillId="0" borderId="0" xfId="3" applyNumberFormat="1" applyFont="1" applyFill="1" applyBorder="1" applyAlignment="1">
      <alignment horizontal="right" wrapText="1"/>
    </xf>
    <xf numFmtId="0" fontId="13" fillId="0" borderId="0" xfId="0" applyFont="1" applyAlignment="1">
      <alignment horizontal="center" vertical="top" wrapText="1"/>
    </xf>
    <xf numFmtId="12" fontId="13" fillId="0" borderId="0" xfId="0" applyNumberFormat="1" applyFont="1" applyAlignment="1">
      <alignment horizontal="center" vertical="top" wrapText="1"/>
    </xf>
    <xf numFmtId="43" fontId="13" fillId="0" borderId="0" xfId="0" applyNumberFormat="1" applyFont="1" applyAlignment="1">
      <alignment horizontal="center" vertical="top" wrapText="1"/>
    </xf>
    <xf numFmtId="0" fontId="11" fillId="0" borderId="9" xfId="0" applyFont="1" applyBorder="1"/>
    <xf numFmtId="0" fontId="8" fillId="0" borderId="10" xfId="0" applyFont="1" applyBorder="1" applyAlignment="1">
      <alignment horizontal="center"/>
    </xf>
    <xf numFmtId="0" fontId="8" fillId="0" borderId="0" xfId="0" applyFont="1"/>
    <xf numFmtId="0" fontId="8" fillId="0" borderId="14" xfId="0" applyFont="1" applyBorder="1"/>
    <xf numFmtId="0" fontId="11" fillId="0" borderId="16" xfId="0" applyFont="1" applyBorder="1"/>
    <xf numFmtId="167" fontId="0" fillId="0" borderId="0" xfId="0" applyNumberFormat="1"/>
    <xf numFmtId="0" fontId="5" fillId="0" borderId="24" xfId="0" applyFont="1" applyBorder="1"/>
    <xf numFmtId="0" fontId="5" fillId="0" borderId="25" xfId="0" applyFont="1" applyBorder="1"/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7" fillId="0" borderId="27" xfId="0" applyFont="1" applyBorder="1"/>
    <xf numFmtId="0" fontId="5" fillId="0" borderId="28" xfId="0" applyFont="1" applyBorder="1"/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30" xfId="0" applyFont="1" applyBorder="1"/>
    <xf numFmtId="0" fontId="5" fillId="0" borderId="27" xfId="0" applyFont="1" applyBorder="1"/>
    <xf numFmtId="170" fontId="5" fillId="0" borderId="28" xfId="0" applyNumberFormat="1" applyFont="1" applyBorder="1"/>
    <xf numFmtId="170" fontId="5" fillId="0" borderId="29" xfId="0" applyNumberFormat="1" applyFont="1" applyBorder="1"/>
    <xf numFmtId="170" fontId="5" fillId="0" borderId="29" xfId="1" applyNumberFormat="1" applyFont="1" applyFill="1" applyBorder="1"/>
    <xf numFmtId="170" fontId="5" fillId="0" borderId="28" xfId="1" applyNumberFormat="1" applyFont="1" applyFill="1" applyBorder="1"/>
    <xf numFmtId="0" fontId="5" fillId="0" borderId="31" xfId="0" applyFont="1" applyBorder="1"/>
    <xf numFmtId="0" fontId="5" fillId="0" borderId="32" xfId="0" applyFont="1" applyBorder="1"/>
    <xf numFmtId="170" fontId="5" fillId="0" borderId="32" xfId="1" applyNumberFormat="1" applyFont="1" applyFill="1" applyBorder="1"/>
    <xf numFmtId="170" fontId="5" fillId="0" borderId="33" xfId="1" applyNumberFormat="1" applyFont="1" applyFill="1" applyBorder="1"/>
    <xf numFmtId="0" fontId="11" fillId="2" borderId="0" xfId="8" applyFont="1" applyFill="1"/>
    <xf numFmtId="0" fontId="3" fillId="0" borderId="0" xfId="0" applyFont="1"/>
    <xf numFmtId="0" fontId="11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1" fillId="0" borderId="21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22" xfId="0" applyFont="1" applyBorder="1" applyAlignment="1">
      <alignment vertical="center"/>
    </xf>
    <xf numFmtId="3" fontId="11" fillId="0" borderId="15" xfId="0" applyNumberFormat="1" applyFont="1" applyBorder="1" applyAlignment="1">
      <alignment horizontal="right" vertical="center"/>
    </xf>
    <xf numFmtId="3" fontId="11" fillId="0" borderId="22" xfId="0" applyNumberFormat="1" applyFont="1" applyBorder="1" applyAlignment="1">
      <alignment horizontal="right" vertical="center"/>
    </xf>
    <xf numFmtId="3" fontId="11" fillId="0" borderId="15" xfId="2" applyNumberFormat="1" applyFont="1" applyFill="1" applyBorder="1" applyAlignment="1">
      <alignment horizontal="right" vertical="center"/>
    </xf>
    <xf numFmtId="3" fontId="11" fillId="0" borderId="22" xfId="2" applyNumberFormat="1" applyFont="1" applyFill="1" applyBorder="1" applyAlignment="1">
      <alignment horizontal="right" vertical="center"/>
    </xf>
    <xf numFmtId="3" fontId="5" fillId="0" borderId="15" xfId="0" applyNumberFormat="1" applyFont="1" applyBorder="1"/>
    <xf numFmtId="171" fontId="11" fillId="0" borderId="15" xfId="0" applyNumberFormat="1" applyFont="1" applyBorder="1" applyAlignment="1">
      <alignment horizontal="right" vertical="center"/>
    </xf>
    <xf numFmtId="171" fontId="11" fillId="0" borderId="22" xfId="0" applyNumberFormat="1" applyFont="1" applyBorder="1" applyAlignment="1">
      <alignment horizontal="right" vertical="center"/>
    </xf>
    <xf numFmtId="0" fontId="11" fillId="0" borderId="23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3" fontId="11" fillId="0" borderId="19" xfId="0" applyNumberFormat="1" applyFont="1" applyBorder="1" applyAlignment="1">
      <alignment horizontal="right" vertical="center"/>
    </xf>
    <xf numFmtId="3" fontId="11" fillId="0" borderId="10" xfId="0" applyNumberFormat="1" applyFont="1" applyBorder="1" applyAlignment="1">
      <alignment horizontal="right" vertical="center"/>
    </xf>
    <xf numFmtId="172" fontId="11" fillId="0" borderId="0" xfId="0" applyNumberFormat="1" applyFont="1"/>
    <xf numFmtId="173" fontId="11" fillId="0" borderId="0" xfId="3" applyNumberFormat="1" applyFont="1"/>
    <xf numFmtId="0" fontId="15" fillId="0" borderId="0" xfId="0" applyFont="1"/>
    <xf numFmtId="164" fontId="3" fillId="0" borderId="0" xfId="0" applyNumberFormat="1" applyFont="1"/>
    <xf numFmtId="3" fontId="3" fillId="0" borderId="0" xfId="0" applyNumberFormat="1" applyFont="1"/>
    <xf numFmtId="173" fontId="3" fillId="0" borderId="0" xfId="3" applyNumberFormat="1" applyFont="1"/>
    <xf numFmtId="0" fontId="16" fillId="0" borderId="0" xfId="0" applyFont="1"/>
    <xf numFmtId="0" fontId="17" fillId="0" borderId="0" xfId="0" applyFont="1"/>
    <xf numFmtId="0" fontId="8" fillId="0" borderId="19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14" xfId="0" applyFont="1" applyBorder="1" applyAlignment="1">
      <alignment horizontal="left"/>
    </xf>
    <xf numFmtId="167" fontId="11" fillId="0" borderId="22" xfId="0" applyNumberFormat="1" applyFont="1" applyBorder="1" applyAlignment="1">
      <alignment horizontal="center"/>
    </xf>
    <xf numFmtId="167" fontId="11" fillId="0" borderId="0" xfId="0" applyNumberFormat="1" applyFont="1" applyAlignment="1">
      <alignment horizontal="center"/>
    </xf>
    <xf numFmtId="167" fontId="11" fillId="0" borderId="37" xfId="0" applyNumberFormat="1" applyFont="1" applyBorder="1" applyAlignment="1">
      <alignment horizontal="center"/>
    </xf>
    <xf numFmtId="167" fontId="11" fillId="0" borderId="0" xfId="0" applyNumberFormat="1" applyFont="1"/>
    <xf numFmtId="0" fontId="11" fillId="0" borderId="0" xfId="0" applyFont="1" applyAlignment="1">
      <alignment horizontal="left" indent="1"/>
    </xf>
    <xf numFmtId="0" fontId="11" fillId="0" borderId="12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167" fontId="11" fillId="0" borderId="15" xfId="0" applyNumberFormat="1" applyFont="1" applyBorder="1" applyAlignment="1">
      <alignment horizontal="center"/>
    </xf>
    <xf numFmtId="167" fontId="11" fillId="0" borderId="40" xfId="0" applyNumberFormat="1" applyFont="1" applyBorder="1" applyAlignment="1">
      <alignment horizontal="center"/>
    </xf>
    <xf numFmtId="0" fontId="11" fillId="0" borderId="16" xfId="0" applyFont="1" applyBorder="1" applyAlignment="1">
      <alignment horizontal="left"/>
    </xf>
    <xf numFmtId="167" fontId="11" fillId="0" borderId="42" xfId="0" applyNumberFormat="1" applyFont="1" applyBorder="1" applyAlignment="1">
      <alignment horizontal="center"/>
    </xf>
    <xf numFmtId="167" fontId="11" fillId="0" borderId="23" xfId="0" applyNumberFormat="1" applyFont="1" applyBorder="1" applyAlignment="1">
      <alignment horizontal="center"/>
    </xf>
    <xf numFmtId="167" fontId="11" fillId="0" borderId="17" xfId="0" applyNumberFormat="1" applyFont="1" applyBorder="1" applyAlignment="1">
      <alignment horizontal="center"/>
    </xf>
    <xf numFmtId="0" fontId="8" fillId="0" borderId="19" xfId="0" applyFont="1" applyBorder="1" applyAlignment="1">
      <alignment horizontal="right" indent="1"/>
    </xf>
    <xf numFmtId="165" fontId="11" fillId="0" borderId="11" xfId="0" applyNumberFormat="1" applyFont="1" applyBorder="1"/>
    <xf numFmtId="174" fontId="11" fillId="0" borderId="12" xfId="1" applyNumberFormat="1" applyFont="1" applyFill="1" applyBorder="1" applyAlignment="1">
      <alignment horizontal="right" indent="1"/>
    </xf>
    <xf numFmtId="174" fontId="11" fillId="0" borderId="15" xfId="1" applyNumberFormat="1" applyFont="1" applyFill="1" applyBorder="1" applyAlignment="1">
      <alignment horizontal="right" indent="1"/>
    </xf>
    <xf numFmtId="165" fontId="11" fillId="0" borderId="16" xfId="0" applyNumberFormat="1" applyFont="1" applyBorder="1"/>
    <xf numFmtId="174" fontId="11" fillId="0" borderId="17" xfId="0" applyNumberFormat="1" applyFont="1" applyBorder="1" applyAlignment="1">
      <alignment horizontal="right" indent="1"/>
    </xf>
    <xf numFmtId="2" fontId="11" fillId="0" borderId="0" xfId="0" applyNumberFormat="1" applyFont="1" applyAlignment="1">
      <alignment horizontal="right"/>
    </xf>
    <xf numFmtId="0" fontId="13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19" fillId="0" borderId="0" xfId="0" applyFont="1"/>
    <xf numFmtId="0" fontId="11" fillId="0" borderId="11" xfId="0" applyFont="1" applyBorder="1"/>
    <xf numFmtId="0" fontId="11" fillId="0" borderId="12" xfId="0" applyFont="1" applyBorder="1" applyAlignment="1">
      <alignment horizontal="right" indent="1"/>
    </xf>
    <xf numFmtId="169" fontId="11" fillId="0" borderId="15" xfId="3" applyNumberFormat="1" applyFont="1" applyBorder="1" applyAlignment="1">
      <alignment horizontal="right" indent="1"/>
    </xf>
    <xf numFmtId="169" fontId="11" fillId="2" borderId="15" xfId="3" applyNumberFormat="1" applyFont="1" applyFill="1" applyBorder="1" applyAlignment="1">
      <alignment horizontal="right" indent="1"/>
    </xf>
    <xf numFmtId="167" fontId="19" fillId="0" borderId="0" xfId="0" applyNumberFormat="1" applyFont="1"/>
    <xf numFmtId="169" fontId="11" fillId="0" borderId="17" xfId="3" applyNumberFormat="1" applyFont="1" applyBorder="1" applyAlignment="1">
      <alignment horizontal="right" indent="1"/>
    </xf>
    <xf numFmtId="169" fontId="11" fillId="2" borderId="17" xfId="3" applyNumberFormat="1" applyFont="1" applyFill="1" applyBorder="1" applyAlignment="1">
      <alignment horizontal="right" indent="1"/>
    </xf>
    <xf numFmtId="169" fontId="8" fillId="0" borderId="10" xfId="3" applyNumberFormat="1" applyFont="1" applyBorder="1" applyAlignment="1">
      <alignment horizontal="right" indent="1"/>
    </xf>
    <xf numFmtId="169" fontId="8" fillId="0" borderId="19" xfId="3" applyNumberFormat="1" applyFont="1" applyBorder="1" applyAlignment="1">
      <alignment horizontal="right" indent="1"/>
    </xf>
    <xf numFmtId="169" fontId="11" fillId="0" borderId="12" xfId="3" applyNumberFormat="1" applyFont="1" applyBorder="1" applyAlignment="1">
      <alignment horizontal="right" indent="1"/>
    </xf>
    <xf numFmtId="0" fontId="20" fillId="0" borderId="13" xfId="0" applyFont="1" applyBorder="1"/>
    <xf numFmtId="164" fontId="19" fillId="0" borderId="0" xfId="0" applyNumberFormat="1" applyFont="1"/>
    <xf numFmtId="0" fontId="9" fillId="0" borderId="0" xfId="0" applyFont="1" applyAlignment="1">
      <alignment vertical="center"/>
    </xf>
    <xf numFmtId="0" fontId="11" fillId="0" borderId="9" xfId="0" applyFont="1" applyBorder="1" applyAlignment="1">
      <alignment vertical="center"/>
    </xf>
    <xf numFmtId="0" fontId="7" fillId="0" borderId="19" xfId="0" applyFont="1" applyBorder="1" applyAlignment="1">
      <alignment horizontal="right" vertical="center"/>
    </xf>
    <xf numFmtId="0" fontId="11" fillId="0" borderId="14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22" xfId="0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8" fillId="0" borderId="16" xfId="0" applyFont="1" applyBorder="1" applyAlignment="1">
      <alignment vertical="center"/>
    </xf>
    <xf numFmtId="0" fontId="7" fillId="0" borderId="23" xfId="0" applyFont="1" applyBorder="1" applyAlignment="1">
      <alignment horizontal="right" vertical="center"/>
    </xf>
    <xf numFmtId="0" fontId="7" fillId="0" borderId="17" xfId="0" applyFont="1" applyBorder="1" applyAlignment="1">
      <alignment horizontal="right" vertical="center"/>
    </xf>
    <xf numFmtId="169" fontId="5" fillId="0" borderId="12" xfId="1" applyNumberFormat="1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5" fillId="0" borderId="0" xfId="0" applyFont="1" applyAlignment="1">
      <alignment horizontal="right"/>
    </xf>
    <xf numFmtId="0" fontId="7" fillId="0" borderId="1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174" fontId="5" fillId="0" borderId="22" xfId="0" applyNumberFormat="1" applyFont="1" applyBorder="1" applyAlignment="1">
      <alignment horizontal="center"/>
    </xf>
    <xf numFmtId="169" fontId="5" fillId="0" borderId="15" xfId="3" applyNumberFormat="1" applyFont="1" applyBorder="1" applyAlignment="1">
      <alignment horizontal="center"/>
    </xf>
    <xf numFmtId="174" fontId="11" fillId="0" borderId="22" xfId="0" applyNumberFormat="1" applyFont="1" applyBorder="1" applyAlignment="1">
      <alignment horizontal="center"/>
    </xf>
    <xf numFmtId="174" fontId="11" fillId="0" borderId="23" xfId="0" applyNumberFormat="1" applyFont="1" applyBorder="1" applyAlignment="1">
      <alignment horizontal="center"/>
    </xf>
    <xf numFmtId="174" fontId="5" fillId="0" borderId="23" xfId="0" applyNumberFormat="1" applyFont="1" applyBorder="1" applyAlignment="1">
      <alignment horizontal="center"/>
    </xf>
    <xf numFmtId="169" fontId="5" fillId="0" borderId="17" xfId="3" applyNumberFormat="1" applyFont="1" applyBorder="1" applyAlignment="1">
      <alignment horizontal="center"/>
    </xf>
    <xf numFmtId="0" fontId="5" fillId="0" borderId="0" xfId="0" applyFont="1" applyAlignment="1">
      <alignment horizontal="left" indent="3"/>
    </xf>
    <xf numFmtId="0" fontId="21" fillId="0" borderId="0" xfId="0" applyFont="1"/>
    <xf numFmtId="1" fontId="8" fillId="0" borderId="19" xfId="0" applyNumberFormat="1" applyFont="1" applyBorder="1" applyAlignment="1">
      <alignment horizontal="center"/>
    </xf>
    <xf numFmtId="175" fontId="11" fillId="0" borderId="15" xfId="0" applyNumberFormat="1" applyFont="1" applyBorder="1"/>
    <xf numFmtId="0" fontId="11" fillId="0" borderId="22" xfId="0" applyFont="1" applyBorder="1" applyAlignment="1">
      <alignment horizontal="left" indent="1"/>
    </xf>
    <xf numFmtId="175" fontId="11" fillId="0" borderId="43" xfId="0" applyNumberFormat="1" applyFont="1" applyBorder="1"/>
    <xf numFmtId="175" fontId="11" fillId="0" borderId="17" xfId="0" applyNumberFormat="1" applyFont="1" applyBorder="1"/>
    <xf numFmtId="175" fontId="11" fillId="0" borderId="23" xfId="0" applyNumberFormat="1" applyFont="1" applyBorder="1"/>
    <xf numFmtId="176" fontId="11" fillId="0" borderId="0" xfId="0" applyNumberFormat="1" applyFont="1" applyAlignment="1">
      <alignment horizontal="right"/>
    </xf>
    <xf numFmtId="176" fontId="11" fillId="0" borderId="13" xfId="0" applyNumberFormat="1" applyFont="1" applyBorder="1" applyAlignment="1">
      <alignment horizontal="right"/>
    </xf>
    <xf numFmtId="173" fontId="5" fillId="0" borderId="0" xfId="3" applyNumberFormat="1" applyFont="1"/>
    <xf numFmtId="2" fontId="8" fillId="0" borderId="19" xfId="0" applyNumberFormat="1" applyFont="1" applyBorder="1" applyAlignment="1">
      <alignment horizontal="center"/>
    </xf>
    <xf numFmtId="164" fontId="0" fillId="0" borderId="0" xfId="0" applyNumberFormat="1"/>
    <xf numFmtId="0" fontId="22" fillId="0" borderId="0" xfId="0" applyFont="1"/>
    <xf numFmtId="0" fontId="11" fillId="0" borderId="18" xfId="0" applyFont="1" applyBorder="1" applyAlignment="1">
      <alignment horizontal="right"/>
    </xf>
    <xf numFmtId="2" fontId="11" fillId="0" borderId="17" xfId="0" applyNumberFormat="1" applyFont="1" applyBorder="1" applyAlignment="1">
      <alignment horizontal="center"/>
    </xf>
    <xf numFmtId="2" fontId="11" fillId="0" borderId="20" xfId="0" applyNumberFormat="1" applyFont="1" applyBorder="1" applyAlignment="1">
      <alignment horizontal="center"/>
    </xf>
    <xf numFmtId="0" fontId="11" fillId="0" borderId="11" xfId="0" applyFont="1" applyBorder="1" applyAlignment="1">
      <alignment horizontal="left"/>
    </xf>
    <xf numFmtId="2" fontId="11" fillId="0" borderId="12" xfId="0" applyNumberFormat="1" applyFont="1" applyBorder="1" applyAlignment="1">
      <alignment horizontal="right"/>
    </xf>
    <xf numFmtId="2" fontId="11" fillId="0" borderId="13" xfId="0" applyNumberFormat="1" applyFont="1" applyBorder="1" applyAlignment="1">
      <alignment horizontal="right"/>
    </xf>
    <xf numFmtId="2" fontId="11" fillId="0" borderId="11" xfId="0" applyNumberFormat="1" applyFont="1" applyBorder="1" applyAlignment="1">
      <alignment horizontal="right"/>
    </xf>
    <xf numFmtId="2" fontId="11" fillId="0" borderId="15" xfId="0" applyNumberFormat="1" applyFont="1" applyBorder="1" applyAlignment="1">
      <alignment horizontal="right"/>
    </xf>
    <xf numFmtId="2" fontId="11" fillId="0" borderId="14" xfId="0" applyNumberFormat="1" applyFont="1" applyBorder="1" applyAlignment="1">
      <alignment horizontal="right"/>
    </xf>
    <xf numFmtId="2" fontId="11" fillId="0" borderId="17" xfId="0" applyNumberFormat="1" applyFont="1" applyBorder="1" applyAlignment="1">
      <alignment horizontal="right"/>
    </xf>
    <xf numFmtId="2" fontId="11" fillId="0" borderId="18" xfId="0" applyNumberFormat="1" applyFont="1" applyBorder="1" applyAlignment="1">
      <alignment horizontal="right"/>
    </xf>
    <xf numFmtId="2" fontId="11" fillId="0" borderId="16" xfId="0" applyNumberFormat="1" applyFont="1" applyBorder="1" applyAlignment="1">
      <alignment horizontal="right"/>
    </xf>
    <xf numFmtId="0" fontId="23" fillId="0" borderId="0" xfId="0" applyFont="1" applyAlignment="1">
      <alignment horizontal="left"/>
    </xf>
    <xf numFmtId="0" fontId="24" fillId="0" borderId="18" xfId="0" applyFont="1" applyBorder="1" applyAlignment="1">
      <alignment horizontal="right"/>
    </xf>
    <xf numFmtId="2" fontId="11" fillId="0" borderId="19" xfId="0" applyNumberFormat="1" applyFont="1" applyBorder="1" applyAlignment="1">
      <alignment horizontal="center"/>
    </xf>
    <xf numFmtId="167" fontId="11" fillId="0" borderId="12" xfId="0" applyNumberFormat="1" applyFont="1" applyBorder="1" applyAlignment="1">
      <alignment horizontal="right" indent="1"/>
    </xf>
    <xf numFmtId="167" fontId="11" fillId="0" borderId="15" xfId="0" applyNumberFormat="1" applyFont="1" applyBorder="1" applyAlignment="1">
      <alignment horizontal="right" indent="1"/>
    </xf>
    <xf numFmtId="167" fontId="11" fillId="0" borderId="17" xfId="0" applyNumberFormat="1" applyFont="1" applyBorder="1" applyAlignment="1">
      <alignment horizontal="right" indent="1"/>
    </xf>
    <xf numFmtId="3" fontId="0" fillId="0" borderId="0" xfId="0" applyNumberFormat="1"/>
    <xf numFmtId="173" fontId="0" fillId="0" borderId="0" xfId="3" applyNumberFormat="1" applyFont="1"/>
    <xf numFmtId="174" fontId="0" fillId="0" borderId="0" xfId="0" applyNumberFormat="1"/>
    <xf numFmtId="169" fontId="0" fillId="0" borderId="0" xfId="1" applyNumberFormat="1" applyFont="1"/>
    <xf numFmtId="0" fontId="6" fillId="0" borderId="0" xfId="0" applyFont="1" applyAlignment="1">
      <alignment horizontal="left"/>
    </xf>
    <xf numFmtId="0" fontId="8" fillId="0" borderId="9" xfId="8" applyFont="1" applyBorder="1"/>
    <xf numFmtId="0" fontId="7" fillId="0" borderId="12" xfId="0" applyFont="1" applyBorder="1" applyAlignment="1">
      <alignment horizontal="center"/>
    </xf>
    <xf numFmtId="0" fontId="8" fillId="0" borderId="21" xfId="8" applyFont="1" applyBorder="1" applyAlignment="1">
      <alignment horizontal="right"/>
    </xf>
    <xf numFmtId="0" fontId="7" fillId="0" borderId="15" xfId="0" applyFont="1" applyBorder="1" applyAlignment="1">
      <alignment horizontal="center"/>
    </xf>
    <xf numFmtId="0" fontId="8" fillId="0" borderId="22" xfId="8" applyFont="1" applyBorder="1" applyAlignment="1">
      <alignment horizontal="right"/>
    </xf>
    <xf numFmtId="0" fontId="8" fillId="0" borderId="23" xfId="8" applyFont="1" applyBorder="1" applyAlignment="1">
      <alignment horizontal="right"/>
    </xf>
    <xf numFmtId="0" fontId="7" fillId="0" borderId="17" xfId="0" applyFont="1" applyBorder="1" applyAlignment="1">
      <alignment horizontal="center"/>
    </xf>
    <xf numFmtId="0" fontId="11" fillId="0" borderId="14" xfId="8" applyFont="1" applyBorder="1" applyAlignment="1">
      <alignment horizontal="center"/>
    </xf>
    <xf numFmtId="169" fontId="11" fillId="0" borderId="0" xfId="4" applyNumberFormat="1" applyFont="1" applyFill="1" applyBorder="1" applyAlignment="1">
      <alignment horizontal="center"/>
    </xf>
    <xf numFmtId="169" fontId="11" fillId="0" borderId="22" xfId="4" applyNumberFormat="1" applyFont="1" applyFill="1" applyBorder="1" applyAlignment="1"/>
    <xf numFmtId="169" fontId="11" fillId="0" borderId="22" xfId="4" applyNumberFormat="1" applyFont="1" applyFill="1" applyBorder="1" applyAlignment="1">
      <alignment horizontal="center"/>
    </xf>
    <xf numFmtId="169" fontId="11" fillId="0" borderId="22" xfId="1" applyNumberFormat="1" applyFont="1" applyFill="1" applyBorder="1" applyAlignment="1">
      <alignment horizontal="center"/>
    </xf>
    <xf numFmtId="169" fontId="11" fillId="0" borderId="15" xfId="4" applyNumberFormat="1" applyFont="1" applyFill="1" applyBorder="1" applyAlignment="1"/>
    <xf numFmtId="0" fontId="11" fillId="0" borderId="16" xfId="8" applyFont="1" applyBorder="1" applyAlignment="1">
      <alignment horizontal="center"/>
    </xf>
    <xf numFmtId="169" fontId="11" fillId="0" borderId="23" xfId="5" applyNumberFormat="1" applyFont="1" applyFill="1" applyBorder="1" applyAlignment="1">
      <alignment horizontal="center"/>
    </xf>
    <xf numFmtId="169" fontId="11" fillId="0" borderId="23" xfId="3" applyNumberFormat="1" applyFont="1" applyFill="1" applyBorder="1" applyAlignment="1">
      <alignment horizontal="center"/>
    </xf>
    <xf numFmtId="169" fontId="11" fillId="0" borderId="17" xfId="4" applyNumberFormat="1" applyFont="1" applyFill="1" applyBorder="1" applyAlignment="1"/>
    <xf numFmtId="0" fontId="11" fillId="0" borderId="0" xfId="8" applyFont="1"/>
    <xf numFmtId="177" fontId="11" fillId="0" borderId="0" xfId="8" applyNumberFormat="1" applyFont="1"/>
    <xf numFmtId="178" fontId="11" fillId="0" borderId="0" xfId="8" applyNumberFormat="1" applyFont="1"/>
    <xf numFmtId="169" fontId="0" fillId="0" borderId="0" xfId="1" applyNumberFormat="1" applyFont="1" applyBorder="1"/>
    <xf numFmtId="0" fontId="11" fillId="0" borderId="0" xfId="8" applyFont="1" applyAlignment="1">
      <alignment horizontal="right"/>
    </xf>
    <xf numFmtId="0" fontId="24" fillId="0" borderId="0" xfId="8" applyFont="1" applyAlignment="1">
      <alignment horizontal="right"/>
    </xf>
    <xf numFmtId="0" fontId="8" fillId="0" borderId="10" xfId="8" applyFont="1" applyBorder="1" applyAlignment="1">
      <alignment horizontal="center"/>
    </xf>
    <xf numFmtId="0" fontId="11" fillId="0" borderId="14" xfId="8" applyFont="1" applyBorder="1"/>
    <xf numFmtId="0" fontId="11" fillId="0" borderId="21" xfId="8" applyFont="1" applyBorder="1" applyAlignment="1">
      <alignment horizontal="center"/>
    </xf>
    <xf numFmtId="43" fontId="11" fillId="0" borderId="12" xfId="4" applyFont="1" applyFill="1" applyBorder="1" applyAlignment="1">
      <alignment horizontal="right"/>
    </xf>
    <xf numFmtId="164" fontId="11" fillId="0" borderId="12" xfId="5" applyFont="1" applyFill="1" applyBorder="1" applyAlignment="1">
      <alignment horizontal="right"/>
    </xf>
    <xf numFmtId="0" fontId="11" fillId="0" borderId="22" xfId="8" applyFont="1" applyBorder="1" applyAlignment="1">
      <alignment horizontal="center"/>
    </xf>
    <xf numFmtId="43" fontId="11" fillId="0" borderId="15" xfId="4" applyFont="1" applyFill="1" applyBorder="1" applyAlignment="1">
      <alignment horizontal="right"/>
    </xf>
    <xf numFmtId="164" fontId="11" fillId="0" borderId="15" xfId="5" applyFont="1" applyFill="1" applyBorder="1" applyAlignment="1">
      <alignment horizontal="right"/>
    </xf>
    <xf numFmtId="43" fontId="11" fillId="0" borderId="35" xfId="4" applyFont="1" applyFill="1" applyBorder="1" applyAlignment="1">
      <alignment horizontal="right"/>
    </xf>
    <xf numFmtId="164" fontId="11" fillId="0" borderId="35" xfId="5" applyFont="1" applyFill="1" applyBorder="1" applyAlignment="1">
      <alignment horizontal="right"/>
    </xf>
    <xf numFmtId="0" fontId="11" fillId="0" borderId="16" xfId="8" applyFont="1" applyBorder="1"/>
    <xf numFmtId="0" fontId="11" fillId="0" borderId="23" xfId="8" applyFont="1" applyBorder="1" applyAlignment="1">
      <alignment horizontal="center"/>
    </xf>
    <xf numFmtId="43" fontId="11" fillId="0" borderId="17" xfId="4" applyFont="1" applyFill="1" applyBorder="1" applyAlignment="1">
      <alignment horizontal="right"/>
    </xf>
    <xf numFmtId="164" fontId="11" fillId="0" borderId="17" xfId="5" applyFont="1" applyFill="1" applyBorder="1" applyAlignment="1">
      <alignment horizontal="right"/>
    </xf>
    <xf numFmtId="0" fontId="11" fillId="0" borderId="0" xfId="8" applyFont="1" applyAlignment="1">
      <alignment horizontal="center"/>
    </xf>
    <xf numFmtId="43" fontId="11" fillId="0" borderId="0" xfId="4" applyFont="1" applyBorder="1" applyAlignment="1">
      <alignment horizontal="center"/>
    </xf>
    <xf numFmtId="4" fontId="11" fillId="0" borderId="0" xfId="8" applyNumberFormat="1" applyFont="1" applyAlignment="1">
      <alignment horizontal="center"/>
    </xf>
    <xf numFmtId="4" fontId="0" fillId="0" borderId="0" xfId="0" applyNumberForma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1" fillId="2" borderId="20" xfId="8" applyFont="1" applyFill="1" applyBorder="1"/>
    <xf numFmtId="0" fontId="11" fillId="2" borderId="9" xfId="8" applyFont="1" applyFill="1" applyBorder="1"/>
    <xf numFmtId="0" fontId="8" fillId="2" borderId="19" xfId="8" applyFont="1" applyFill="1" applyBorder="1" applyAlignment="1">
      <alignment horizontal="center"/>
    </xf>
    <xf numFmtId="0" fontId="11" fillId="2" borderId="14" xfId="8" applyFont="1" applyFill="1" applyBorder="1"/>
    <xf numFmtId="167" fontId="11" fillId="2" borderId="12" xfId="8" applyNumberFormat="1" applyFont="1" applyFill="1" applyBorder="1" applyAlignment="1">
      <alignment horizontal="right" indent="1"/>
    </xf>
    <xf numFmtId="167" fontId="11" fillId="0" borderId="12" xfId="8" applyNumberFormat="1" applyFont="1" applyBorder="1" applyAlignment="1">
      <alignment horizontal="right" indent="1"/>
    </xf>
    <xf numFmtId="0" fontId="11" fillId="2" borderId="0" xfId="8" applyFont="1" applyFill="1" applyAlignment="1">
      <alignment horizontal="center"/>
    </xf>
    <xf numFmtId="167" fontId="11" fillId="2" borderId="15" xfId="8" applyNumberFormat="1" applyFont="1" applyFill="1" applyBorder="1" applyAlignment="1">
      <alignment horizontal="right" indent="1"/>
    </xf>
    <xf numFmtId="167" fontId="11" fillId="2" borderId="17" xfId="8" applyNumberFormat="1" applyFont="1" applyFill="1" applyBorder="1" applyAlignment="1">
      <alignment horizontal="right" indent="1"/>
    </xf>
    <xf numFmtId="167" fontId="11" fillId="2" borderId="19" xfId="8" applyNumberFormat="1" applyFont="1" applyFill="1" applyBorder="1" applyAlignment="1">
      <alignment horizontal="right" indent="1"/>
    </xf>
    <xf numFmtId="0" fontId="11" fillId="2" borderId="0" xfId="8" applyFont="1" applyFill="1" applyAlignment="1">
      <alignment horizontal="left"/>
    </xf>
    <xf numFmtId="0" fontId="11" fillId="2" borderId="13" xfId="8" applyFont="1" applyFill="1" applyBorder="1"/>
    <xf numFmtId="0" fontId="11" fillId="2" borderId="0" xfId="8" applyFont="1" applyFill="1" applyAlignment="1">
      <alignment wrapText="1"/>
    </xf>
    <xf numFmtId="0" fontId="25" fillId="0" borderId="0" xfId="0" applyFont="1"/>
    <xf numFmtId="0" fontId="4" fillId="0" borderId="0" xfId="0" applyFont="1" applyAlignment="1">
      <alignment vertical="center"/>
    </xf>
    <xf numFmtId="0" fontId="11" fillId="2" borderId="0" xfId="8" applyFont="1" applyFill="1" applyAlignment="1">
      <alignment horizontal="right"/>
    </xf>
    <xf numFmtId="169" fontId="11" fillId="2" borderId="12" xfId="1" applyNumberFormat="1" applyFont="1" applyFill="1" applyBorder="1" applyAlignment="1">
      <alignment horizontal="right"/>
    </xf>
    <xf numFmtId="169" fontId="11" fillId="2" borderId="15" xfId="1" applyNumberFormat="1" applyFont="1" applyFill="1" applyBorder="1" applyAlignment="1">
      <alignment horizontal="right"/>
    </xf>
    <xf numFmtId="169" fontId="11" fillId="2" borderId="17" xfId="1" applyNumberFormat="1" applyFont="1" applyFill="1" applyBorder="1" applyAlignment="1">
      <alignment horizontal="right"/>
    </xf>
    <xf numFmtId="0" fontId="8" fillId="2" borderId="9" xfId="8" applyFont="1" applyFill="1" applyBorder="1"/>
    <xf numFmtId="169" fontId="8" fillId="2" borderId="19" xfId="1" applyNumberFormat="1" applyFont="1" applyFill="1" applyBorder="1" applyAlignment="1">
      <alignment horizontal="right"/>
    </xf>
    <xf numFmtId="169" fontId="11" fillId="0" borderId="15" xfId="1" applyNumberFormat="1" applyFont="1" applyFill="1" applyBorder="1" applyAlignment="1">
      <alignment horizontal="right"/>
    </xf>
    <xf numFmtId="169" fontId="11" fillId="2" borderId="15" xfId="3" applyNumberFormat="1" applyFont="1" applyFill="1" applyBorder="1" applyAlignment="1">
      <alignment horizontal="right"/>
    </xf>
    <xf numFmtId="169" fontId="11" fillId="2" borderId="17" xfId="3" applyNumberFormat="1" applyFont="1" applyFill="1" applyBorder="1" applyAlignment="1">
      <alignment horizontal="right"/>
    </xf>
    <xf numFmtId="0" fontId="8" fillId="2" borderId="9" xfId="8" applyFont="1" applyFill="1" applyBorder="1" applyAlignment="1">
      <alignment horizontal="left"/>
    </xf>
    <xf numFmtId="0" fontId="8" fillId="2" borderId="9" xfId="8" applyFont="1" applyFill="1" applyBorder="1" applyAlignment="1">
      <alignment horizontal="left" indent="2"/>
    </xf>
    <xf numFmtId="0" fontId="8" fillId="2" borderId="0" xfId="8" applyFont="1" applyFill="1"/>
    <xf numFmtId="0" fontId="8" fillId="2" borderId="14" xfId="8" applyFont="1" applyFill="1" applyBorder="1"/>
    <xf numFmtId="179" fontId="11" fillId="2" borderId="0" xfId="8" applyNumberFormat="1" applyFont="1" applyFill="1" applyAlignment="1">
      <alignment horizontal="right"/>
    </xf>
    <xf numFmtId="0" fontId="8" fillId="2" borderId="0" xfId="8" applyFont="1" applyFill="1" applyAlignment="1">
      <alignment horizontal="right"/>
    </xf>
    <xf numFmtId="43" fontId="0" fillId="0" borderId="0" xfId="1" applyFont="1"/>
    <xf numFmtId="0" fontId="26" fillId="0" borderId="0" xfId="0" applyFont="1"/>
    <xf numFmtId="0" fontId="5" fillId="0" borderId="44" xfId="0" applyFont="1" applyBorder="1"/>
    <xf numFmtId="0" fontId="5" fillId="0" borderId="45" xfId="0" applyFont="1" applyBorder="1"/>
    <xf numFmtId="0" fontId="5" fillId="0" borderId="45" xfId="0" applyFont="1" applyBorder="1" applyAlignment="1">
      <alignment horizontal="right"/>
    </xf>
    <xf numFmtId="0" fontId="5" fillId="0" borderId="30" xfId="0" applyFont="1" applyBorder="1" applyAlignment="1">
      <alignment horizontal="right"/>
    </xf>
    <xf numFmtId="0" fontId="5" fillId="0" borderId="25" xfId="0" applyFont="1" applyBorder="1" applyAlignment="1">
      <alignment horizontal="right"/>
    </xf>
    <xf numFmtId="0" fontId="5" fillId="0" borderId="26" xfId="0" applyFont="1" applyBorder="1" applyAlignment="1">
      <alignment horizontal="right"/>
    </xf>
    <xf numFmtId="3" fontId="5" fillId="0" borderId="28" xfId="0" applyNumberFormat="1" applyFont="1" applyBorder="1"/>
    <xf numFmtId="3" fontId="5" fillId="0" borderId="29" xfId="0" applyNumberFormat="1" applyFont="1" applyBorder="1"/>
    <xf numFmtId="0" fontId="5" fillId="0" borderId="29" xfId="0" applyFont="1" applyBorder="1"/>
    <xf numFmtId="3" fontId="5" fillId="0" borderId="32" xfId="0" applyNumberFormat="1" applyFont="1" applyBorder="1"/>
    <xf numFmtId="3" fontId="5" fillId="0" borderId="33" xfId="0" applyNumberFormat="1" applyFont="1" applyBorder="1"/>
    <xf numFmtId="166" fontId="5" fillId="0" borderId="0" xfId="1" applyNumberFormat="1" applyFont="1"/>
    <xf numFmtId="164" fontId="8" fillId="0" borderId="19" xfId="8" quotePrefix="1" applyNumberFormat="1" applyFont="1" applyBorder="1" applyAlignment="1">
      <alignment horizontal="center"/>
    </xf>
    <xf numFmtId="0" fontId="11" fillId="0" borderId="21" xfId="0" quotePrefix="1" applyFont="1" applyBorder="1" applyAlignment="1">
      <alignment horizontal="left" indent="1"/>
    </xf>
    <xf numFmtId="0" fontId="11" fillId="0" borderId="23" xfId="0" quotePrefix="1" applyFont="1" applyBorder="1" applyAlignment="1">
      <alignment horizontal="left" indent="1"/>
    </xf>
    <xf numFmtId="0" fontId="11" fillId="0" borderId="23" xfId="0" quotePrefix="1" applyFont="1" applyBorder="1" applyAlignment="1">
      <alignment horizontal="center"/>
    </xf>
    <xf numFmtId="167" fontId="11" fillId="0" borderId="36" xfId="0" quotePrefix="1" applyNumberFormat="1" applyFont="1" applyBorder="1" applyAlignment="1">
      <alignment horizontal="left"/>
    </xf>
    <xf numFmtId="0" fontId="18" fillId="0" borderId="0" xfId="0" quotePrefix="1" applyFont="1" applyAlignment="1">
      <alignment horizontal="left" indent="1"/>
    </xf>
    <xf numFmtId="169" fontId="11" fillId="0" borderId="22" xfId="5" applyNumberFormat="1" applyFont="1" applyFill="1" applyBorder="1" applyAlignment="1">
      <alignment horizontal="center"/>
    </xf>
    <xf numFmtId="169" fontId="11" fillId="0" borderId="22" xfId="3" applyNumberFormat="1" applyFont="1" applyFill="1" applyBorder="1" applyAlignment="1">
      <alignment horizontal="center"/>
    </xf>
    <xf numFmtId="170" fontId="5" fillId="0" borderId="32" xfId="0" applyNumberFormat="1" applyFont="1" applyBorder="1"/>
    <xf numFmtId="170" fontId="5" fillId="0" borderId="33" xfId="0" applyNumberFormat="1" applyFont="1" applyBorder="1"/>
    <xf numFmtId="0" fontId="11" fillId="0" borderId="21" xfId="0" applyFont="1" applyBorder="1" applyAlignment="1">
      <alignment horizontal="left"/>
    </xf>
    <xf numFmtId="0" fontId="11" fillId="0" borderId="22" xfId="0" applyFont="1" applyBorder="1" applyAlignment="1">
      <alignment horizontal="left"/>
    </xf>
    <xf numFmtId="167" fontId="11" fillId="0" borderId="23" xfId="0" applyNumberFormat="1" applyFont="1" applyBorder="1" applyAlignment="1">
      <alignment horizontal="left"/>
    </xf>
    <xf numFmtId="169" fontId="5" fillId="0" borderId="15" xfId="1" applyNumberFormat="1" applyFont="1" applyBorder="1" applyAlignment="1">
      <alignment horizontal="right" vertical="center"/>
    </xf>
    <xf numFmtId="169" fontId="5" fillId="0" borderId="17" xfId="1" applyNumberFormat="1" applyFont="1" applyBorder="1" applyAlignment="1">
      <alignment horizontal="right" vertical="center"/>
    </xf>
    <xf numFmtId="169" fontId="11" fillId="0" borderId="15" xfId="1" applyNumberFormat="1" applyFont="1" applyBorder="1"/>
    <xf numFmtId="0" fontId="2" fillId="0" borderId="0" xfId="0" applyFont="1"/>
    <xf numFmtId="169" fontId="15" fillId="0" borderId="0" xfId="1" applyNumberFormat="1" applyFont="1"/>
    <xf numFmtId="180" fontId="5" fillId="0" borderId="0" xfId="0" applyNumberFormat="1" applyFont="1"/>
    <xf numFmtId="168" fontId="3" fillId="0" borderId="0" xfId="1" applyNumberFormat="1" applyFont="1"/>
    <xf numFmtId="169" fontId="5" fillId="0" borderId="0" xfId="1" applyNumberFormat="1" applyFont="1"/>
    <xf numFmtId="167" fontId="11" fillId="0" borderId="38" xfId="0" quotePrefix="1" applyNumberFormat="1" applyFont="1" applyBorder="1" applyAlignment="1">
      <alignment horizontal="left"/>
    </xf>
    <xf numFmtId="167" fontId="11" fillId="0" borderId="39" xfId="0" applyNumberFormat="1" applyFont="1" applyBorder="1" applyAlignment="1">
      <alignment horizontal="center"/>
    </xf>
    <xf numFmtId="167" fontId="11" fillId="0" borderId="41" xfId="0" applyNumberFormat="1" applyFont="1" applyBorder="1" applyAlignment="1">
      <alignment horizontal="center"/>
    </xf>
    <xf numFmtId="2" fontId="22" fillId="0" borderId="0" xfId="0" applyNumberFormat="1" applyFont="1"/>
    <xf numFmtId="178" fontId="0" fillId="0" borderId="0" xfId="1" applyNumberFormat="1" applyFont="1" applyBorder="1"/>
    <xf numFmtId="0" fontId="0" fillId="0" borderId="0" xfId="0" applyAlignment="1">
      <alignment horizontal="center"/>
    </xf>
    <xf numFmtId="169" fontId="19" fillId="0" borderId="0" xfId="1" applyNumberFormat="1" applyFont="1"/>
    <xf numFmtId="169" fontId="19" fillId="0" borderId="22" xfId="1" applyNumberFormat="1" applyFont="1" applyBorder="1"/>
    <xf numFmtId="169" fontId="19" fillId="0" borderId="23" xfId="1" applyNumberFormat="1" applyFont="1" applyBorder="1"/>
    <xf numFmtId="169" fontId="11" fillId="0" borderId="0" xfId="1" applyNumberFormat="1" applyFont="1"/>
    <xf numFmtId="177" fontId="0" fillId="0" borderId="0" xfId="1" applyNumberFormat="1" applyFont="1" applyBorder="1"/>
    <xf numFmtId="182" fontId="0" fillId="0" borderId="0" xfId="0" applyNumberFormat="1"/>
    <xf numFmtId="167" fontId="7" fillId="0" borderId="23" xfId="0" applyNumberFormat="1" applyFont="1" applyBorder="1" applyAlignment="1">
      <alignment horizontal="right" vertical="center"/>
    </xf>
    <xf numFmtId="181" fontId="0" fillId="0" borderId="0" xfId="0" applyNumberFormat="1"/>
    <xf numFmtId="0" fontId="35" fillId="2" borderId="0" xfId="8" applyFont="1" applyFill="1"/>
    <xf numFmtId="2" fontId="37" fillId="0" borderId="15" xfId="0" applyNumberFormat="1" applyFont="1" applyBorder="1" applyAlignment="1">
      <alignment horizontal="right" vertical="top"/>
    </xf>
    <xf numFmtId="2" fontId="37" fillId="0" borderId="0" xfId="0" applyNumberFormat="1" applyFont="1" applyAlignment="1">
      <alignment horizontal="right" vertical="top"/>
    </xf>
    <xf numFmtId="2" fontId="37" fillId="0" borderId="46" xfId="0" applyNumberFormat="1" applyFont="1" applyBorder="1" applyAlignment="1">
      <alignment horizontal="right" vertical="top"/>
    </xf>
    <xf numFmtId="2" fontId="38" fillId="0" borderId="0" xfId="0" applyNumberFormat="1" applyFont="1" applyAlignment="1">
      <alignment horizontal="right" vertical="top"/>
    </xf>
    <xf numFmtId="2" fontId="38" fillId="0" borderId="46" xfId="0" applyNumberFormat="1" applyFont="1" applyBorder="1" applyAlignment="1">
      <alignment horizontal="right" vertical="top"/>
    </xf>
    <xf numFmtId="168" fontId="14" fillId="0" borderId="14" xfId="3" applyNumberFormat="1" applyFont="1" applyBorder="1" applyAlignment="1">
      <alignment horizontal="center" vertical="top" wrapText="1"/>
    </xf>
    <xf numFmtId="3" fontId="12" fillId="0" borderId="0" xfId="0" applyNumberFormat="1" applyFont="1"/>
    <xf numFmtId="168" fontId="15" fillId="0" borderId="15" xfId="0" applyNumberFormat="1" applyFont="1" applyBorder="1" applyAlignment="1">
      <alignment horizontal="right" vertical="center"/>
    </xf>
    <xf numFmtId="168" fontId="42" fillId="0" borderId="15" xfId="0" applyNumberFormat="1" applyFont="1" applyBorder="1" applyAlignment="1">
      <alignment horizontal="right" vertical="center"/>
    </xf>
    <xf numFmtId="168" fontId="43" fillId="0" borderId="15" xfId="0" applyNumberFormat="1" applyFont="1" applyBorder="1" applyAlignment="1">
      <alignment horizontal="right" vertical="center"/>
    </xf>
    <xf numFmtId="0" fontId="44" fillId="0" borderId="51" xfId="0" applyFont="1" applyBorder="1" applyAlignment="1">
      <alignment wrapText="1"/>
    </xf>
    <xf numFmtId="0" fontId="44" fillId="2" borderId="52" xfId="0" applyFont="1" applyFill="1" applyBorder="1" applyAlignment="1">
      <alignment wrapText="1"/>
    </xf>
    <xf numFmtId="0" fontId="44" fillId="0" borderId="48" xfId="0" applyFont="1" applyBorder="1" applyAlignment="1">
      <alignment wrapText="1"/>
    </xf>
    <xf numFmtId="0" fontId="45" fillId="0" borderId="36" xfId="0" applyFont="1" applyBorder="1" applyAlignment="1">
      <alignment wrapText="1"/>
    </xf>
    <xf numFmtId="174" fontId="45" fillId="0" borderId="37" xfId="0" applyNumberFormat="1" applyFont="1" applyBorder="1" applyAlignment="1">
      <alignment wrapText="1"/>
    </xf>
    <xf numFmtId="2" fontId="45" fillId="0" borderId="0" xfId="0" applyNumberFormat="1" applyFont="1"/>
    <xf numFmtId="174" fontId="45" fillId="2" borderId="37" xfId="0" applyNumberFormat="1" applyFont="1" applyFill="1" applyBorder="1" applyAlignment="1">
      <alignment wrapText="1"/>
    </xf>
    <xf numFmtId="174" fontId="45" fillId="2" borderId="53" xfId="0" applyNumberFormat="1" applyFont="1" applyFill="1" applyBorder="1" applyAlignment="1">
      <alignment wrapText="1"/>
    </xf>
    <xf numFmtId="0" fontId="35" fillId="0" borderId="36" xfId="0" applyFont="1" applyBorder="1" applyAlignment="1">
      <alignment wrapText="1"/>
    </xf>
    <xf numFmtId="174" fontId="35" fillId="0" borderId="37" xfId="0" applyNumberFormat="1" applyFont="1" applyBorder="1"/>
    <xf numFmtId="174" fontId="35" fillId="0" borderId="40" xfId="0" applyNumberFormat="1" applyFont="1" applyBorder="1"/>
    <xf numFmtId="174" fontId="45" fillId="2" borderId="40" xfId="0" applyNumberFormat="1" applyFont="1" applyFill="1" applyBorder="1" applyAlignment="1">
      <alignment wrapText="1"/>
    </xf>
    <xf numFmtId="174" fontId="45" fillId="0" borderId="37" xfId="0" applyNumberFormat="1" applyFont="1" applyBorder="1"/>
    <xf numFmtId="174" fontId="45" fillId="0" borderId="40" xfId="0" applyNumberFormat="1" applyFont="1" applyBorder="1"/>
    <xf numFmtId="0" fontId="45" fillId="0" borderId="38" xfId="0" applyFont="1" applyBorder="1" applyAlignment="1">
      <alignment wrapText="1"/>
    </xf>
    <xf numFmtId="174" fontId="45" fillId="0" borderId="39" xfId="0" applyNumberFormat="1" applyFont="1" applyBorder="1"/>
    <xf numFmtId="2" fontId="45" fillId="0" borderId="54" xfId="0" applyNumberFormat="1" applyFont="1" applyBorder="1"/>
    <xf numFmtId="2" fontId="45" fillId="0" borderId="38" xfId="0" applyNumberFormat="1" applyFont="1" applyBorder="1"/>
    <xf numFmtId="174" fontId="45" fillId="0" borderId="41" xfId="0" applyNumberFormat="1" applyFont="1" applyBorder="1"/>
    <xf numFmtId="0" fontId="46" fillId="0" borderId="55" xfId="0" applyFont="1" applyBorder="1"/>
    <xf numFmtId="0" fontId="46" fillId="0" borderId="52" xfId="0" applyFont="1" applyBorder="1" applyAlignment="1">
      <alignment horizontal="center"/>
    </xf>
    <xf numFmtId="0" fontId="46" fillId="0" borderId="48" xfId="0" applyFont="1" applyBorder="1" applyAlignment="1">
      <alignment horizontal="center"/>
    </xf>
    <xf numFmtId="0" fontId="46" fillId="0" borderId="47" xfId="0" applyFont="1" applyBorder="1" applyAlignment="1">
      <alignment wrapText="1"/>
    </xf>
    <xf numFmtId="0" fontId="46" fillId="0" borderId="56" xfId="0" applyFont="1" applyBorder="1"/>
    <xf numFmtId="169" fontId="46" fillId="0" borderId="56" xfId="1" applyNumberFormat="1" applyFont="1" applyBorder="1"/>
    <xf numFmtId="169" fontId="46" fillId="0" borderId="53" xfId="1" applyNumberFormat="1" applyFont="1" applyBorder="1"/>
    <xf numFmtId="0" fontId="46" fillId="0" borderId="36" xfId="0" applyFont="1" applyBorder="1"/>
    <xf numFmtId="0" fontId="46" fillId="0" borderId="37" xfId="0" applyFont="1" applyBorder="1"/>
    <xf numFmtId="169" fontId="46" fillId="0" borderId="37" xfId="1" applyNumberFormat="1" applyFont="1" applyBorder="1"/>
    <xf numFmtId="169" fontId="46" fillId="0" borderId="40" xfId="1" applyNumberFormat="1" applyFont="1" applyBorder="1"/>
    <xf numFmtId="0" fontId="46" fillId="0" borderId="36" xfId="0" applyFont="1" applyBorder="1" applyAlignment="1">
      <alignment wrapText="1"/>
    </xf>
    <xf numFmtId="169" fontId="46" fillId="0" borderId="37" xfId="0" applyNumberFormat="1" applyFont="1" applyBorder="1"/>
    <xf numFmtId="169" fontId="46" fillId="0" borderId="40" xfId="0" applyNumberFormat="1" applyFont="1" applyBorder="1"/>
    <xf numFmtId="169" fontId="47" fillId="0" borderId="37" xfId="0" applyNumberFormat="1" applyFont="1" applyBorder="1" applyAlignment="1">
      <alignment horizontal="center"/>
    </xf>
    <xf numFmtId="169" fontId="47" fillId="0" borderId="40" xfId="0" applyNumberFormat="1" applyFont="1" applyBorder="1" applyAlignment="1">
      <alignment horizontal="center"/>
    </xf>
    <xf numFmtId="0" fontId="46" fillId="0" borderId="38" xfId="0" applyFont="1" applyBorder="1"/>
    <xf numFmtId="0" fontId="46" fillId="0" borderId="39" xfId="0" applyFont="1" applyBorder="1"/>
    <xf numFmtId="177" fontId="46" fillId="0" borderId="39" xfId="1" applyNumberFormat="1" applyFont="1" applyBorder="1"/>
    <xf numFmtId="0" fontId="46" fillId="0" borderId="41" xfId="0" applyFont="1" applyBorder="1"/>
    <xf numFmtId="0" fontId="46" fillId="0" borderId="0" xfId="0" applyFont="1"/>
    <xf numFmtId="0" fontId="48" fillId="0" borderId="0" xfId="0" applyFont="1"/>
    <xf numFmtId="177" fontId="0" fillId="0" borderId="0" xfId="1" applyNumberFormat="1" applyFont="1"/>
    <xf numFmtId="167" fontId="11" fillId="2" borderId="0" xfId="8" applyNumberFormat="1" applyFont="1" applyFill="1" applyAlignment="1">
      <alignment horizontal="right" indent="1"/>
    </xf>
    <xf numFmtId="167" fontId="5" fillId="0" borderId="15" xfId="0" applyNumberFormat="1" applyFont="1" applyBorder="1" applyAlignment="1">
      <alignment horizontal="right" vertical="center"/>
    </xf>
    <xf numFmtId="167" fontId="5" fillId="0" borderId="22" xfId="0" applyNumberFormat="1" applyFont="1" applyBorder="1" applyAlignment="1">
      <alignment horizontal="right" vertical="center"/>
    </xf>
    <xf numFmtId="167" fontId="5" fillId="0" borderId="23" xfId="0" applyNumberFormat="1" applyFont="1" applyBorder="1" applyAlignment="1">
      <alignment horizontal="right" vertical="center"/>
    </xf>
    <xf numFmtId="167" fontId="5" fillId="0" borderId="17" xfId="0" applyNumberFormat="1" applyFont="1" applyBorder="1" applyAlignment="1">
      <alignment horizontal="right" vertical="center"/>
    </xf>
    <xf numFmtId="0" fontId="43" fillId="0" borderId="14" xfId="0" applyFont="1" applyBorder="1"/>
    <xf numFmtId="0" fontId="43" fillId="0" borderId="13" xfId="0" applyFont="1" applyBorder="1"/>
    <xf numFmtId="168" fontId="11" fillId="0" borderId="17" xfId="0" applyNumberFormat="1" applyFont="1" applyBorder="1" applyAlignment="1">
      <alignment horizontal="right" vertical="center"/>
    </xf>
    <xf numFmtId="168" fontId="43" fillId="0" borderId="17" xfId="0" applyNumberFormat="1" applyFont="1" applyBorder="1" applyAlignment="1">
      <alignment horizontal="right" vertical="center"/>
    </xf>
    <xf numFmtId="168" fontId="50" fillId="0" borderId="17" xfId="0" applyNumberFormat="1" applyFont="1" applyBorder="1" applyAlignment="1">
      <alignment horizontal="right" vertical="center"/>
    </xf>
    <xf numFmtId="165" fontId="8" fillId="0" borderId="14" xfId="0" applyNumberFormat="1" applyFont="1" applyBorder="1" applyAlignment="1">
      <alignment horizontal="left"/>
    </xf>
    <xf numFmtId="0" fontId="35" fillId="0" borderId="20" xfId="0" applyFont="1" applyBorder="1"/>
    <xf numFmtId="0" fontId="35" fillId="0" borderId="9" xfId="0" applyFont="1" applyBorder="1"/>
    <xf numFmtId="0" fontId="43" fillId="0" borderId="10" xfId="0" applyFont="1" applyBorder="1" applyAlignment="1">
      <alignment horizontal="center"/>
    </xf>
    <xf numFmtId="0" fontId="43" fillId="0" borderId="19" xfId="0" applyFont="1" applyBorder="1" applyAlignment="1">
      <alignment horizontal="center"/>
    </xf>
    <xf numFmtId="0" fontId="35" fillId="0" borderId="22" xfId="0" applyFont="1" applyBorder="1" applyAlignment="1">
      <alignment horizontal="center"/>
    </xf>
    <xf numFmtId="169" fontId="35" fillId="0" borderId="22" xfId="1" applyNumberFormat="1" applyFont="1" applyBorder="1" applyAlignment="1">
      <alignment horizontal="left"/>
    </xf>
    <xf numFmtId="169" fontId="35" fillId="0" borderId="12" xfId="1" applyNumberFormat="1" applyFont="1" applyBorder="1" applyAlignment="1">
      <alignment horizontal="left"/>
    </xf>
    <xf numFmtId="0" fontId="43" fillId="0" borderId="0" xfId="0" applyFont="1"/>
    <xf numFmtId="169" fontId="35" fillId="0" borderId="15" xfId="1" applyNumberFormat="1" applyFont="1" applyBorder="1" applyAlignment="1">
      <alignment horizontal="left"/>
    </xf>
    <xf numFmtId="0" fontId="35" fillId="0" borderId="0" xfId="0" applyFont="1"/>
    <xf numFmtId="0" fontId="35" fillId="0" borderId="14" xfId="0" applyFont="1" applyBorder="1"/>
    <xf numFmtId="0" fontId="48" fillId="0" borderId="36" xfId="0" applyFont="1" applyBorder="1"/>
    <xf numFmtId="169" fontId="48" fillId="0" borderId="37" xfId="1" applyNumberFormat="1" applyFont="1" applyBorder="1"/>
    <xf numFmtId="169" fontId="48" fillId="0" borderId="37" xfId="0" applyNumberFormat="1" applyFont="1" applyBorder="1"/>
    <xf numFmtId="169" fontId="48" fillId="0" borderId="40" xfId="0" applyNumberFormat="1" applyFont="1" applyBorder="1"/>
    <xf numFmtId="169" fontId="35" fillId="0" borderId="15" xfId="1" applyNumberFormat="1" applyFont="1" applyFill="1" applyBorder="1" applyAlignment="1">
      <alignment horizontal="left"/>
    </xf>
    <xf numFmtId="169" fontId="35" fillId="0" borderId="22" xfId="1" applyNumberFormat="1" applyFont="1" applyFill="1" applyBorder="1" applyAlignment="1">
      <alignment horizontal="left"/>
    </xf>
    <xf numFmtId="169" fontId="35" fillId="0" borderId="23" xfId="1" applyNumberFormat="1" applyFont="1" applyFill="1" applyBorder="1" applyAlignment="1">
      <alignment horizontal="left"/>
    </xf>
    <xf numFmtId="169" fontId="35" fillId="0" borderId="17" xfId="1" applyNumberFormat="1" applyFont="1" applyFill="1" applyBorder="1" applyAlignment="1">
      <alignment horizontal="left"/>
    </xf>
    <xf numFmtId="0" fontId="45" fillId="0" borderId="0" xfId="0" applyFont="1"/>
    <xf numFmtId="183" fontId="0" fillId="0" borderId="0" xfId="0" applyNumberFormat="1"/>
    <xf numFmtId="168" fontId="0" fillId="0" borderId="0" xfId="1" applyNumberFormat="1" applyFont="1"/>
    <xf numFmtId="184" fontId="11" fillId="0" borderId="0" xfId="0" applyNumberFormat="1" applyFont="1"/>
    <xf numFmtId="168" fontId="0" fillId="0" borderId="0" xfId="0" applyNumberFormat="1"/>
    <xf numFmtId="0" fontId="1" fillId="0" borderId="0" xfId="0" applyFont="1"/>
    <xf numFmtId="0" fontId="9" fillId="0" borderId="0" xfId="0" applyFont="1"/>
    <xf numFmtId="43" fontId="0" fillId="0" borderId="0" xfId="0" applyNumberFormat="1"/>
    <xf numFmtId="43" fontId="5" fillId="0" borderId="0" xfId="0" applyNumberFormat="1" applyFont="1"/>
    <xf numFmtId="3" fontId="5" fillId="0" borderId="0" xfId="0" applyNumberFormat="1" applyFont="1"/>
    <xf numFmtId="0" fontId="46" fillId="0" borderId="0" xfId="0" applyFont="1" applyBorder="1"/>
    <xf numFmtId="177" fontId="46" fillId="0" borderId="0" xfId="1" applyNumberFormat="1" applyFont="1" applyBorder="1"/>
    <xf numFmtId="168" fontId="46" fillId="0" borderId="37" xfId="1" applyNumberFormat="1" applyFont="1" applyBorder="1"/>
    <xf numFmtId="168" fontId="46" fillId="0" borderId="40" xfId="1" applyNumberFormat="1" applyFont="1" applyBorder="1"/>
    <xf numFmtId="0" fontId="51" fillId="0" borderId="1" xfId="7" applyFont="1" applyBorder="1" applyAlignment="1">
      <alignment horizontal="center" vertical="top" wrapText="1"/>
    </xf>
    <xf numFmtId="0" fontId="51" fillId="0" borderId="2" xfId="7" applyFont="1" applyBorder="1" applyAlignment="1">
      <alignment horizontal="center" vertical="top" wrapText="1"/>
    </xf>
    <xf numFmtId="0" fontId="52" fillId="0" borderId="10" xfId="7" applyFont="1" applyBorder="1" applyAlignment="1">
      <alignment horizontal="justify" vertical="top"/>
    </xf>
    <xf numFmtId="166" fontId="52" fillId="0" borderId="3" xfId="3" applyNumberFormat="1" applyFont="1" applyBorder="1" applyAlignment="1">
      <alignment horizontal="center" vertical="top" wrapText="1"/>
    </xf>
    <xf numFmtId="166" fontId="52" fillId="0" borderId="4" xfId="3" applyNumberFormat="1" applyFont="1" applyBorder="1" applyAlignment="1">
      <alignment horizontal="center" vertical="top" wrapText="1"/>
    </xf>
    <xf numFmtId="166" fontId="52" fillId="0" borderId="5" xfId="3" applyNumberFormat="1" applyFont="1" applyBorder="1" applyAlignment="1">
      <alignment horizontal="center" vertical="top" wrapText="1"/>
    </xf>
    <xf numFmtId="166" fontId="52" fillId="0" borderId="6" xfId="3" applyNumberFormat="1" applyFont="1" applyBorder="1" applyAlignment="1">
      <alignment horizontal="center" vertical="top" wrapText="1"/>
    </xf>
    <xf numFmtId="166" fontId="52" fillId="0" borderId="7" xfId="3" applyNumberFormat="1" applyFont="1" applyBorder="1" applyAlignment="1">
      <alignment horizontal="center" vertical="top" wrapText="1"/>
    </xf>
    <xf numFmtId="166" fontId="52" fillId="0" borderId="8" xfId="3" applyNumberFormat="1" applyFont="1" applyBorder="1" applyAlignment="1">
      <alignment horizontal="center" vertical="top" wrapText="1"/>
    </xf>
    <xf numFmtId="0" fontId="52" fillId="0" borderId="10" xfId="7" applyFont="1" applyBorder="1" applyAlignment="1">
      <alignment horizontal="justify" vertical="top" wrapText="1"/>
    </xf>
    <xf numFmtId="166" fontId="51" fillId="0" borderId="3" xfId="3" applyNumberFormat="1" applyFont="1" applyFill="1" applyBorder="1" applyAlignment="1">
      <alignment horizontal="center" vertical="top" wrapText="1"/>
    </xf>
    <xf numFmtId="166" fontId="51" fillId="0" borderId="4" xfId="3" applyNumberFormat="1" applyFont="1" applyFill="1" applyBorder="1" applyAlignment="1">
      <alignment horizontal="center" vertical="top" wrapText="1"/>
    </xf>
    <xf numFmtId="166" fontId="52" fillId="0" borderId="5" xfId="3" applyNumberFormat="1" applyFont="1" applyFill="1" applyBorder="1" applyAlignment="1">
      <alignment horizontal="center" vertical="top" wrapText="1"/>
    </xf>
    <xf numFmtId="166" fontId="52" fillId="0" borderId="6" xfId="3" applyNumberFormat="1" applyFont="1" applyFill="1" applyBorder="1" applyAlignment="1">
      <alignment horizontal="center" vertical="top" wrapText="1"/>
    </xf>
    <xf numFmtId="0" fontId="51" fillId="0" borderId="16" xfId="7" applyFont="1" applyBorder="1" applyAlignment="1">
      <alignment vertical="top" wrapText="1"/>
    </xf>
    <xf numFmtId="166" fontId="52" fillId="0" borderId="7" xfId="3" applyNumberFormat="1" applyFont="1" applyFill="1" applyBorder="1" applyAlignment="1">
      <alignment horizontal="center" vertical="top" wrapText="1"/>
    </xf>
    <xf numFmtId="166" fontId="52" fillId="0" borderId="8" xfId="3" applyNumberFormat="1" applyFont="1" applyFill="1" applyBorder="1" applyAlignment="1">
      <alignment horizontal="center" vertical="top" wrapText="1"/>
    </xf>
    <xf numFmtId="0" fontId="51" fillId="0" borderId="0" xfId="7" applyFont="1" applyBorder="1" applyAlignment="1">
      <alignment horizontal="justify" vertical="top" wrapText="1"/>
    </xf>
    <xf numFmtId="0" fontId="52" fillId="0" borderId="0" xfId="7" applyFont="1" applyAlignment="1">
      <alignment horizontal="justify"/>
    </xf>
    <xf numFmtId="0" fontId="52" fillId="0" borderId="0" xfId="7" applyFont="1"/>
    <xf numFmtId="0" fontId="12" fillId="0" borderId="0" xfId="7" applyFont="1" applyBorder="1"/>
    <xf numFmtId="0" fontId="12" fillId="0" borderId="0" xfId="7" applyFont="1"/>
    <xf numFmtId="0" fontId="5" fillId="0" borderId="57" xfId="0" applyFont="1" applyBorder="1" applyAlignment="1">
      <alignment horizontal="right"/>
    </xf>
    <xf numFmtId="0" fontId="11" fillId="2" borderId="0" xfId="8" applyFont="1" applyFill="1"/>
    <xf numFmtId="0" fontId="11" fillId="2" borderId="14" xfId="8" applyFont="1" applyFill="1" applyBorder="1"/>
    <xf numFmtId="0" fontId="8" fillId="2" borderId="20" xfId="8" applyFont="1" applyFill="1" applyBorder="1"/>
    <xf numFmtId="0" fontId="8" fillId="2" borderId="9" xfId="8" applyFont="1" applyFill="1" applyBorder="1"/>
    <xf numFmtId="0" fontId="4" fillId="0" borderId="0" xfId="0" applyFont="1"/>
    <xf numFmtId="0" fontId="11" fillId="2" borderId="18" xfId="8" applyFont="1" applyFill="1" applyBorder="1" applyAlignment="1">
      <alignment horizontal="right"/>
    </xf>
    <xf numFmtId="0" fontId="11" fillId="2" borderId="0" xfId="8" quotePrefix="1" applyFont="1" applyFill="1"/>
    <xf numFmtId="0" fontId="9" fillId="0" borderId="0" xfId="0" applyFont="1"/>
    <xf numFmtId="0" fontId="11" fillId="0" borderId="0" xfId="8" applyFont="1" applyAlignment="1">
      <alignment horizontal="left" wrapText="1"/>
    </xf>
    <xf numFmtId="0" fontId="11" fillId="0" borderId="0" xfId="8" applyFont="1"/>
    <xf numFmtId="0" fontId="8" fillId="0" borderId="11" xfId="8" applyFont="1" applyBorder="1" applyAlignment="1">
      <alignment horizontal="center"/>
    </xf>
    <xf numFmtId="0" fontId="8" fillId="0" borderId="14" xfId="8" applyFont="1" applyBorder="1" applyAlignment="1">
      <alignment horizontal="center"/>
    </xf>
    <xf numFmtId="0" fontId="8" fillId="0" borderId="16" xfId="8" applyFont="1" applyBorder="1" applyAlignment="1">
      <alignment horizontal="center"/>
    </xf>
    <xf numFmtId="0" fontId="6" fillId="0" borderId="0" xfId="0" applyFont="1" applyAlignment="1">
      <alignment horizontal="left"/>
    </xf>
    <xf numFmtId="0" fontId="8" fillId="0" borderId="19" xfId="8" applyFont="1" applyBorder="1"/>
    <xf numFmtId="0" fontId="8" fillId="0" borderId="9" xfId="8" applyFont="1" applyBorder="1"/>
    <xf numFmtId="0" fontId="8" fillId="0" borderId="19" xfId="8" applyFont="1" applyBorder="1" applyAlignment="1">
      <alignment horizontal="center"/>
    </xf>
    <xf numFmtId="0" fontId="8" fillId="0" borderId="9" xfId="8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11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11" fillId="0" borderId="0" xfId="0" applyFont="1" applyAlignment="1">
      <alignment vertical="center"/>
    </xf>
    <xf numFmtId="0" fontId="11" fillId="0" borderId="14" xfId="0" applyFont="1" applyBorder="1" applyAlignment="1">
      <alignment vertical="center"/>
    </xf>
    <xf numFmtId="0" fontId="18" fillId="0" borderId="0" xfId="0" quotePrefix="1" applyFont="1"/>
    <xf numFmtId="0" fontId="11" fillId="0" borderId="0" xfId="0" applyFont="1"/>
    <xf numFmtId="0" fontId="8" fillId="0" borderId="9" xfId="0" applyFont="1" applyBorder="1" applyAlignment="1">
      <alignment horizontal="center"/>
    </xf>
    <xf numFmtId="0" fontId="8" fillId="0" borderId="11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34" xfId="0" applyFont="1" applyBorder="1" applyAlignment="1">
      <alignment vertical="center"/>
    </xf>
    <xf numFmtId="0" fontId="11" fillId="0" borderId="35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3" fillId="0" borderId="13" xfId="0" applyFont="1" applyBorder="1"/>
    <xf numFmtId="0" fontId="43" fillId="0" borderId="11" xfId="0" applyFont="1" applyBorder="1"/>
    <xf numFmtId="0" fontId="43" fillId="0" borderId="0" xfId="0" applyFont="1"/>
    <xf numFmtId="0" fontId="43" fillId="0" borderId="14" xfId="0" applyFont="1" applyBorder="1"/>
    <xf numFmtId="0" fontId="35" fillId="0" borderId="13" xfId="0" applyFont="1" applyBorder="1" applyAlignment="1">
      <alignment horizontal="left"/>
    </xf>
    <xf numFmtId="0" fontId="13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41" fillId="0" borderId="0" xfId="0" applyFont="1" applyAlignment="1">
      <alignment horizontal="left" vertical="center" wrapText="1"/>
    </xf>
    <xf numFmtId="0" fontId="14" fillId="0" borderId="19" xfId="0" applyFont="1" applyBorder="1" applyAlignment="1">
      <alignment horizontal="center" vertical="top" wrapText="1"/>
    </xf>
    <xf numFmtId="0" fontId="14" fillId="0" borderId="20" xfId="0" applyFont="1" applyBorder="1" applyAlignment="1">
      <alignment horizontal="center" vertical="top" wrapText="1"/>
    </xf>
    <xf numFmtId="0" fontId="14" fillId="0" borderId="9" xfId="0" applyFont="1" applyBorder="1" applyAlignment="1">
      <alignment horizontal="center" vertical="top" wrapText="1"/>
    </xf>
    <xf numFmtId="165" fontId="43" fillId="0" borderId="18" xfId="0" applyNumberFormat="1" applyFont="1" applyBorder="1" applyAlignment="1">
      <alignment horizontal="center"/>
    </xf>
    <xf numFmtId="165" fontId="43" fillId="0" borderId="16" xfId="0" applyNumberFormat="1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165" fontId="8" fillId="0" borderId="14" xfId="0" applyNumberFormat="1" applyFont="1" applyBorder="1" applyAlignment="1">
      <alignment horizontal="center"/>
    </xf>
    <xf numFmtId="0" fontId="11" fillId="0" borderId="0" xfId="0" applyFont="1" applyAlignment="1">
      <alignment horizontal="left" wrapText="1"/>
    </xf>
    <xf numFmtId="0" fontId="44" fillId="0" borderId="47" xfId="0" applyFont="1" applyBorder="1" applyAlignment="1">
      <alignment horizontal="left" vertical="center" wrapText="1"/>
    </xf>
    <xf numFmtId="0" fontId="44" fillId="0" borderId="50" xfId="0" applyFont="1" applyBorder="1" applyAlignment="1">
      <alignment horizontal="left" vertical="center" wrapText="1"/>
    </xf>
    <xf numFmtId="0" fontId="44" fillId="0" borderId="48" xfId="0" applyFont="1" applyBorder="1" applyAlignment="1">
      <alignment horizontal="center"/>
    </xf>
    <xf numFmtId="0" fontId="44" fillId="0" borderId="49" xfId="0" applyFont="1" applyBorder="1" applyAlignment="1">
      <alignment horizontal="center"/>
    </xf>
    <xf numFmtId="0" fontId="51" fillId="0" borderId="58" xfId="7" applyFont="1" applyBorder="1" applyAlignment="1">
      <alignment horizontal="center" vertical="top" wrapText="1"/>
    </xf>
    <xf numFmtId="0" fontId="51" fillId="0" borderId="59" xfId="7" applyFont="1" applyBorder="1" applyAlignment="1">
      <alignment horizontal="center" vertical="top" wrapText="1"/>
    </xf>
    <xf numFmtId="0" fontId="51" fillId="0" borderId="9" xfId="7" applyFont="1" applyBorder="1" applyAlignment="1">
      <alignment vertical="top" wrapText="1"/>
    </xf>
    <xf numFmtId="0" fontId="51" fillId="0" borderId="11" xfId="7" applyFont="1" applyBorder="1" applyAlignment="1">
      <alignment vertical="top" wrapText="1"/>
    </xf>
    <xf numFmtId="0" fontId="49" fillId="0" borderId="0" xfId="7" applyFont="1" applyAlignment="1">
      <alignment horizontal="left"/>
    </xf>
  </cellXfs>
  <cellStyles count="9">
    <cellStyle name="Bad" xfId="2" builtinId="27"/>
    <cellStyle name="Comma" xfId="1" builtinId="3"/>
    <cellStyle name="Comma 2" xfId="3"/>
    <cellStyle name="Comma 3" xfId="4"/>
    <cellStyle name="Comma 3 2" xfId="5"/>
    <cellStyle name="Normal" xfId="0" builtinId="0"/>
    <cellStyle name="Normal 2" xfId="6"/>
    <cellStyle name="Normal 2 2" xfId="7"/>
    <cellStyle name="Normal 3" xfId="8"/>
  </cellStyles>
  <dxfs count="0"/>
  <tableStyles count="0" defaultTableStyle="TableStyleMedium2" defaultPivotStyle="PivotStyleLight16"/>
  <colors>
    <mruColors>
      <color rgb="FF993300"/>
      <color rgb="FFCC330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30"/>
  <sheetViews>
    <sheetView showGridLines="0" workbookViewId="0">
      <selection activeCell="I11" sqref="I11"/>
    </sheetView>
  </sheetViews>
  <sheetFormatPr defaultColWidth="9" defaultRowHeight="15"/>
  <cols>
    <col min="1" max="1" width="35.28515625" customWidth="1"/>
    <col min="2" max="2" width="13.42578125" hidden="1" customWidth="1"/>
    <col min="3" max="3" width="0.5703125" hidden="1" customWidth="1"/>
    <col min="4" max="4" width="12" customWidth="1"/>
    <col min="5" max="7" width="10.5703125" bestFit="1" customWidth="1"/>
    <col min="8" max="8" width="11.85546875" customWidth="1"/>
    <col min="9" max="9" width="14.85546875" customWidth="1"/>
    <col min="15" max="16" width="9.140625" bestFit="1" customWidth="1"/>
    <col min="17" max="18" width="9.28515625" bestFit="1" customWidth="1"/>
    <col min="19" max="19" width="9.140625" bestFit="1" customWidth="1"/>
  </cols>
  <sheetData>
    <row r="2" spans="1:19" ht="16.5">
      <c r="A2" s="274" t="s">
        <v>361</v>
      </c>
      <c r="B2" s="274"/>
      <c r="C2" s="274"/>
      <c r="D2" s="274"/>
      <c r="E2" s="274"/>
      <c r="F2" s="274"/>
      <c r="G2" s="274"/>
      <c r="H2" s="9"/>
      <c r="I2" s="9"/>
    </row>
    <row r="3" spans="1:19" ht="15.75">
      <c r="A3" s="9"/>
      <c r="B3" s="9"/>
      <c r="C3" s="9"/>
      <c r="D3" s="9"/>
      <c r="E3" s="9"/>
      <c r="F3" s="9"/>
      <c r="G3" s="9"/>
      <c r="H3" s="458" t="s">
        <v>0</v>
      </c>
      <c r="I3" s="458"/>
    </row>
    <row r="4" spans="1:19" ht="15.75">
      <c r="A4" s="292"/>
      <c r="B4" s="293">
        <v>2016</v>
      </c>
      <c r="C4" s="293">
        <v>2017</v>
      </c>
      <c r="D4" s="294">
        <v>2018</v>
      </c>
      <c r="E4" s="293">
        <v>2019</v>
      </c>
      <c r="F4" s="294">
        <v>2020</v>
      </c>
      <c r="G4" s="294">
        <v>2021</v>
      </c>
      <c r="H4" s="295">
        <v>2022</v>
      </c>
      <c r="I4" s="295" t="s">
        <v>14</v>
      </c>
    </row>
    <row r="5" spans="1:19" ht="15.75">
      <c r="A5" s="71" t="s">
        <v>1</v>
      </c>
      <c r="B5" s="72"/>
      <c r="C5" s="72"/>
      <c r="D5" s="72"/>
      <c r="E5" s="72"/>
      <c r="F5" s="296"/>
      <c r="G5" s="296"/>
      <c r="H5" s="297"/>
      <c r="I5" s="297"/>
      <c r="N5" s="427"/>
    </row>
    <row r="6" spans="1:19" ht="15.75">
      <c r="A6" s="80" t="s">
        <v>2</v>
      </c>
      <c r="B6" s="298">
        <v>1703590</v>
      </c>
      <c r="C6" s="298">
        <v>1992704.89453125</v>
      </c>
      <c r="D6" s="298">
        <v>2099266</v>
      </c>
      <c r="E6" s="298">
        <v>2337922</v>
      </c>
      <c r="F6" s="298">
        <v>2672546</v>
      </c>
      <c r="G6" s="298">
        <v>2838170</v>
      </c>
      <c r="H6" s="299">
        <v>3111292</v>
      </c>
      <c r="I6" s="299">
        <v>3641865</v>
      </c>
      <c r="N6" s="427"/>
      <c r="O6" s="324"/>
      <c r="P6" s="324"/>
      <c r="Q6" s="324"/>
      <c r="R6" s="324"/>
      <c r="S6" s="324"/>
    </row>
    <row r="7" spans="1:19" ht="15.75">
      <c r="A7" s="80" t="s">
        <v>3</v>
      </c>
      <c r="B7" s="298">
        <v>318580</v>
      </c>
      <c r="C7" s="298">
        <v>365519.314453125</v>
      </c>
      <c r="D7" s="298">
        <v>378805</v>
      </c>
      <c r="E7" s="298">
        <v>416390</v>
      </c>
      <c r="F7" s="298">
        <v>476067</v>
      </c>
      <c r="G7" s="298">
        <v>534718</v>
      </c>
      <c r="H7" s="299">
        <v>600816</v>
      </c>
      <c r="I7" s="299">
        <v>713452</v>
      </c>
    </row>
    <row r="8" spans="1:19" ht="15.75">
      <c r="A8" s="80" t="s">
        <v>4</v>
      </c>
      <c r="B8" s="298">
        <v>1385010</v>
      </c>
      <c r="C8" s="298">
        <v>1627185.5800781299</v>
      </c>
      <c r="D8" s="298">
        <v>1720461</v>
      </c>
      <c r="E8" s="298">
        <v>1921532</v>
      </c>
      <c r="F8" s="298">
        <v>2196480</v>
      </c>
      <c r="G8" s="298">
        <v>2303453</v>
      </c>
      <c r="H8" s="299">
        <v>2510475</v>
      </c>
      <c r="I8" s="299">
        <v>2928412</v>
      </c>
    </row>
    <row r="9" spans="1:19" ht="15.75">
      <c r="A9" s="80" t="s">
        <v>5</v>
      </c>
      <c r="B9" s="76"/>
      <c r="C9" s="76"/>
      <c r="D9" s="76"/>
      <c r="E9" s="76"/>
      <c r="F9" s="76"/>
      <c r="G9" s="76"/>
      <c r="H9" s="300"/>
      <c r="I9" s="300"/>
      <c r="N9" s="427"/>
    </row>
    <row r="10" spans="1:19" ht="15.75">
      <c r="A10" s="80" t="s">
        <v>6</v>
      </c>
      <c r="B10" s="298">
        <v>1703590</v>
      </c>
      <c r="C10" s="298">
        <v>1689721.3671875</v>
      </c>
      <c r="D10" s="298">
        <v>1785520</v>
      </c>
      <c r="E10" s="298">
        <v>1845314</v>
      </c>
      <c r="F10" s="298">
        <v>1950802</v>
      </c>
      <c r="G10" s="298">
        <v>1964020</v>
      </c>
      <c r="H10" s="299">
        <v>1934386</v>
      </c>
      <c r="I10" s="299">
        <v>2084668</v>
      </c>
      <c r="N10" s="427"/>
      <c r="O10" s="70"/>
      <c r="P10" s="70"/>
      <c r="Q10" s="70"/>
      <c r="R10" s="70"/>
      <c r="S10" s="70"/>
    </row>
    <row r="11" spans="1:19" ht="15.75">
      <c r="A11" s="80" t="s">
        <v>7</v>
      </c>
      <c r="B11" s="298">
        <v>318580</v>
      </c>
      <c r="C11" s="298">
        <v>323553.873046875</v>
      </c>
      <c r="D11" s="298">
        <v>335969</v>
      </c>
      <c r="E11" s="298">
        <v>354775</v>
      </c>
      <c r="F11" s="298">
        <v>383327</v>
      </c>
      <c r="G11" s="298">
        <v>401197</v>
      </c>
      <c r="H11" s="299">
        <v>408016</v>
      </c>
      <c r="I11" s="299">
        <v>451483</v>
      </c>
    </row>
    <row r="12" spans="1:19" ht="15.75">
      <c r="A12" s="85" t="s">
        <v>8</v>
      </c>
      <c r="B12" s="301">
        <v>1385010</v>
      </c>
      <c r="C12" s="301">
        <v>1366167.4941406299</v>
      </c>
      <c r="D12" s="301">
        <v>1449551</v>
      </c>
      <c r="E12" s="301">
        <v>1490539</v>
      </c>
      <c r="F12" s="301">
        <v>1567475</v>
      </c>
      <c r="G12" s="301">
        <v>1562823</v>
      </c>
      <c r="H12" s="302">
        <v>1526370</v>
      </c>
      <c r="I12" s="302">
        <v>1633186</v>
      </c>
    </row>
    <row r="13" spans="1:19" ht="15.75">
      <c r="A13" s="9" t="s">
        <v>9</v>
      </c>
      <c r="B13" s="9"/>
      <c r="C13" s="9"/>
      <c r="D13" s="9"/>
      <c r="E13" s="431"/>
      <c r="F13" s="431"/>
      <c r="G13" s="431"/>
      <c r="H13" s="431"/>
      <c r="I13" s="431"/>
      <c r="J13" s="9"/>
    </row>
    <row r="14" spans="1:19" ht="15.75">
      <c r="A14" s="9" t="s">
        <v>10</v>
      </c>
      <c r="B14" s="9"/>
      <c r="C14" s="9"/>
      <c r="D14" s="9"/>
      <c r="J14" s="9"/>
    </row>
    <row r="15" spans="1:19" ht="16.5">
      <c r="A15" s="9" t="s">
        <v>11</v>
      </c>
      <c r="B15" s="9"/>
      <c r="C15" s="303"/>
      <c r="D15" s="303"/>
      <c r="E15" s="303"/>
      <c r="F15" s="303"/>
      <c r="G15" s="303"/>
      <c r="H15" s="303"/>
      <c r="I15" s="9"/>
    </row>
    <row r="16" spans="1:19">
      <c r="E16" s="424"/>
      <c r="F16" s="424"/>
      <c r="G16" s="424"/>
      <c r="H16" s="424"/>
      <c r="I16" s="424"/>
    </row>
    <row r="17" spans="5:9">
      <c r="E17" s="424"/>
      <c r="F17" s="424"/>
      <c r="G17" s="424"/>
      <c r="H17" s="424"/>
      <c r="I17" s="424"/>
    </row>
    <row r="18" spans="5:9">
      <c r="E18" s="424"/>
      <c r="F18" s="424"/>
      <c r="G18" s="424"/>
      <c r="H18" s="424"/>
      <c r="I18" s="424"/>
    </row>
    <row r="19" spans="5:9">
      <c r="E19" s="424"/>
      <c r="F19" s="424"/>
      <c r="G19" s="424"/>
      <c r="H19" s="424"/>
      <c r="I19" s="424"/>
    </row>
    <row r="20" spans="5:9">
      <c r="E20" s="424"/>
      <c r="F20" s="424"/>
      <c r="G20" s="424"/>
      <c r="H20" s="424"/>
      <c r="I20" s="424"/>
    </row>
    <row r="21" spans="5:9">
      <c r="E21" s="424"/>
      <c r="F21" s="424"/>
      <c r="G21" s="424"/>
      <c r="H21" s="424"/>
      <c r="I21" s="424"/>
    </row>
    <row r="22" spans="5:9">
      <c r="E22" s="424"/>
      <c r="F22" s="424"/>
      <c r="G22" s="424"/>
      <c r="H22" s="424"/>
      <c r="I22" s="424"/>
    </row>
    <row r="24" spans="5:9">
      <c r="E24" s="192"/>
      <c r="F24" s="192"/>
      <c r="G24" s="192"/>
      <c r="H24" s="192"/>
      <c r="I24" s="192"/>
    </row>
    <row r="25" spans="5:9">
      <c r="E25" s="192"/>
      <c r="F25" s="192"/>
      <c r="G25" s="192"/>
      <c r="H25" s="192"/>
      <c r="I25" s="192"/>
    </row>
    <row r="26" spans="5:9">
      <c r="E26" s="192"/>
      <c r="F26" s="192"/>
      <c r="G26" s="192"/>
      <c r="H26" s="192"/>
      <c r="I26" s="192"/>
    </row>
    <row r="28" spans="5:9">
      <c r="E28" s="426"/>
      <c r="F28" s="426"/>
      <c r="G28" s="426"/>
      <c r="H28" s="426"/>
      <c r="I28" s="426"/>
    </row>
    <row r="29" spans="5:9">
      <c r="E29" s="426"/>
      <c r="F29" s="426"/>
      <c r="G29" s="426"/>
      <c r="H29" s="426"/>
      <c r="I29" s="426"/>
    </row>
    <row r="30" spans="5:9">
      <c r="E30" s="426"/>
      <c r="F30" s="426"/>
      <c r="G30" s="426"/>
      <c r="H30" s="426"/>
      <c r="I30" s="426"/>
    </row>
  </sheetData>
  <mergeCells count="1">
    <mergeCell ref="H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showGridLines="0" topLeftCell="A2" zoomScale="87" zoomScaleNormal="87" workbookViewId="0">
      <selection activeCell="B12" sqref="B12"/>
    </sheetView>
  </sheetViews>
  <sheetFormatPr defaultColWidth="9" defaultRowHeight="15"/>
  <cols>
    <col min="1" max="1" width="12.5703125" customWidth="1"/>
    <col min="2" max="2" width="16" customWidth="1"/>
    <col min="3" max="3" width="10.28515625" hidden="1" customWidth="1"/>
    <col min="4" max="9" width="13.7109375" customWidth="1"/>
    <col min="10" max="10" width="13.28515625" customWidth="1"/>
    <col min="11" max="11" width="10.5703125" customWidth="1"/>
    <col min="12" max="12" width="10.5703125" bestFit="1" customWidth="1"/>
  </cols>
  <sheetData>
    <row r="1" spans="1:11" ht="15.75" hidden="1">
      <c r="A1" s="463" t="s">
        <v>12</v>
      </c>
      <c r="B1" s="463"/>
      <c r="C1" s="463"/>
      <c r="D1" s="463"/>
      <c r="E1" s="463"/>
      <c r="F1" s="463"/>
      <c r="G1" s="9"/>
      <c r="H1" s="9"/>
    </row>
    <row r="2" spans="1:11" ht="15.75">
      <c r="A2" s="274" t="s">
        <v>267</v>
      </c>
      <c r="B2" s="2"/>
      <c r="C2" s="2"/>
      <c r="D2" s="2"/>
      <c r="E2" s="2"/>
      <c r="F2" s="2"/>
      <c r="G2" s="9"/>
      <c r="H2" s="9"/>
    </row>
    <row r="3" spans="1:11" ht="15.75">
      <c r="A3" s="274"/>
      <c r="B3" s="89"/>
      <c r="C3" s="275"/>
      <c r="D3" s="9"/>
      <c r="E3" s="275"/>
      <c r="F3" s="9"/>
      <c r="H3" s="289" t="s">
        <v>13</v>
      </c>
    </row>
    <row r="4" spans="1:11" ht="15.75">
      <c r="A4" s="260"/>
      <c r="B4" s="261"/>
      <c r="C4" s="262">
        <v>2017</v>
      </c>
      <c r="D4" s="262">
        <v>2019</v>
      </c>
      <c r="E4" s="262">
        <v>2020</v>
      </c>
      <c r="F4" s="262">
        <v>2021</v>
      </c>
      <c r="G4" s="262">
        <v>2022</v>
      </c>
      <c r="H4" s="262" t="s">
        <v>14</v>
      </c>
    </row>
    <row r="5" spans="1:11" ht="15.75">
      <c r="A5" s="459" t="s">
        <v>15</v>
      </c>
      <c r="B5" s="460"/>
      <c r="C5" s="276"/>
      <c r="D5" s="276"/>
      <c r="E5" s="276"/>
      <c r="F5" s="276"/>
      <c r="G5" s="276"/>
      <c r="H5" s="276"/>
    </row>
    <row r="6" spans="1:11" ht="15.75">
      <c r="A6" s="89"/>
      <c r="B6" s="263" t="s">
        <v>16</v>
      </c>
      <c r="C6" s="277">
        <v>8478.7421568077007</v>
      </c>
      <c r="D6" s="277">
        <v>10681.2</v>
      </c>
      <c r="E6" s="277">
        <v>8232.5</v>
      </c>
      <c r="F6" s="277">
        <v>6858.1</v>
      </c>
      <c r="G6" s="277">
        <v>7925</v>
      </c>
      <c r="H6" s="277">
        <v>11340.3</v>
      </c>
    </row>
    <row r="7" spans="1:11" ht="15.75">
      <c r="A7" s="89"/>
      <c r="B7" s="263" t="s">
        <v>17</v>
      </c>
      <c r="C7" s="277">
        <v>5283.1</v>
      </c>
      <c r="D7" s="277">
        <v>13373.4</v>
      </c>
      <c r="E7" s="277">
        <v>10281.5</v>
      </c>
      <c r="F7" s="277">
        <v>10396.6</v>
      </c>
      <c r="G7" s="277">
        <v>10863.4</v>
      </c>
      <c r="H7" s="277">
        <v>14735</v>
      </c>
    </row>
    <row r="8" spans="1:11" ht="15.75">
      <c r="A8" s="89"/>
      <c r="B8" s="263" t="s">
        <v>18</v>
      </c>
      <c r="C8" s="278">
        <v>5965.0846609550399</v>
      </c>
      <c r="D8" s="278">
        <v>11104.4</v>
      </c>
      <c r="E8" s="278">
        <v>11106.7</v>
      </c>
      <c r="F8" s="278">
        <v>10450.200000000001</v>
      </c>
      <c r="G8" s="278">
        <v>15710</v>
      </c>
      <c r="H8" s="278">
        <v>23086.6</v>
      </c>
    </row>
    <row r="9" spans="1:11" ht="22.5" customHeight="1">
      <c r="A9" s="260"/>
      <c r="B9" s="279" t="s">
        <v>19</v>
      </c>
      <c r="C9" s="280">
        <f t="shared" ref="C9" si="0">SUM(C6:C8)</f>
        <v>19726.926817762742</v>
      </c>
      <c r="D9" s="280">
        <v>35159</v>
      </c>
      <c r="E9" s="280">
        <v>29620.7</v>
      </c>
      <c r="F9" s="280">
        <v>27704.9</v>
      </c>
      <c r="G9" s="280">
        <v>34498.400000000001</v>
      </c>
      <c r="H9" s="280">
        <v>49161.9</v>
      </c>
    </row>
    <row r="10" spans="1:11" ht="16.5">
      <c r="A10" s="459" t="s">
        <v>20</v>
      </c>
      <c r="B10" s="460"/>
      <c r="C10" s="276"/>
      <c r="D10" s="276"/>
      <c r="E10" s="276"/>
      <c r="F10" s="276"/>
      <c r="G10" s="276"/>
      <c r="H10" s="276"/>
    </row>
    <row r="11" spans="1:11" ht="15.75">
      <c r="A11" s="89"/>
      <c r="B11" s="263" t="s">
        <v>21</v>
      </c>
      <c r="C11" s="277">
        <v>82248.862888000003</v>
      </c>
      <c r="D11" s="277">
        <v>104141.8</v>
      </c>
      <c r="E11" s="277">
        <v>107508.6</v>
      </c>
      <c r="F11" s="277">
        <v>110849.3</v>
      </c>
      <c r="G11" s="277">
        <v>104250</v>
      </c>
      <c r="H11" s="277">
        <v>107600</v>
      </c>
    </row>
    <row r="12" spans="1:11" ht="15.75">
      <c r="A12" s="89"/>
      <c r="B12" s="263" t="s">
        <v>22</v>
      </c>
      <c r="C12" s="277">
        <v>24064.640428999999</v>
      </c>
      <c r="D12" s="281">
        <v>27247.8</v>
      </c>
      <c r="E12" s="281">
        <v>24228.400000000001</v>
      </c>
      <c r="F12" s="281">
        <v>28460.7</v>
      </c>
      <c r="G12" s="281">
        <v>23150</v>
      </c>
      <c r="H12" s="281">
        <v>23800</v>
      </c>
    </row>
    <row r="13" spans="1:11" ht="15.75">
      <c r="A13" s="89"/>
      <c r="B13" s="263" t="s">
        <v>23</v>
      </c>
      <c r="C13" s="278">
        <v>9009.3190739999991</v>
      </c>
      <c r="D13" s="277">
        <v>13189</v>
      </c>
      <c r="E13" s="277">
        <v>18426.900000000001</v>
      </c>
      <c r="F13" s="277">
        <v>18382.900000000001</v>
      </c>
      <c r="G13" s="277">
        <v>19700</v>
      </c>
      <c r="H13" s="277">
        <v>22300</v>
      </c>
    </row>
    <row r="14" spans="1:11" ht="15.75">
      <c r="A14" s="260"/>
      <c r="B14" s="279" t="s">
        <v>24</v>
      </c>
      <c r="C14" s="280">
        <f t="shared" ref="C14" si="1">SUM(C11:C13)</f>
        <v>115322.82239099999</v>
      </c>
      <c r="D14" s="280">
        <v>144578.6</v>
      </c>
      <c r="E14" s="280">
        <v>150163.9</v>
      </c>
      <c r="F14" s="280">
        <v>157692.9</v>
      </c>
      <c r="G14" s="280">
        <v>147100</v>
      </c>
      <c r="H14" s="280">
        <v>153700</v>
      </c>
    </row>
    <row r="15" spans="1:11" ht="15.75">
      <c r="A15" s="459" t="s">
        <v>25</v>
      </c>
      <c r="B15" s="460"/>
      <c r="C15" s="276"/>
      <c r="D15" s="276"/>
      <c r="E15" s="276"/>
      <c r="F15" s="276"/>
      <c r="G15" s="276"/>
      <c r="H15" s="276"/>
    </row>
    <row r="16" spans="1:11" ht="15.75">
      <c r="A16" s="89"/>
      <c r="B16" s="263" t="s">
        <v>26</v>
      </c>
      <c r="C16" s="277">
        <v>20133.753301839599</v>
      </c>
      <c r="D16" s="277">
        <v>17576.900000000001</v>
      </c>
      <c r="E16" s="277">
        <v>25207.3</v>
      </c>
      <c r="F16" s="277">
        <v>28386.3</v>
      </c>
      <c r="G16" s="282">
        <v>39350.400000000001</v>
      </c>
      <c r="H16" s="282">
        <v>29630.5</v>
      </c>
      <c r="J16" s="391"/>
      <c r="K16" s="192"/>
    </row>
    <row r="17" spans="1:11" ht="15.75">
      <c r="A17" s="89"/>
      <c r="B17" s="263" t="s">
        <v>27</v>
      </c>
      <c r="C17" s="277">
        <v>19.190860000000001</v>
      </c>
      <c r="D17" s="277">
        <v>65.900000000000006</v>
      </c>
      <c r="E17" s="277">
        <v>57</v>
      </c>
      <c r="F17" s="281">
        <v>106.5</v>
      </c>
      <c r="G17" s="282">
        <v>236</v>
      </c>
      <c r="H17" s="282">
        <v>512.4</v>
      </c>
    </row>
    <row r="18" spans="1:11" ht="15.75">
      <c r="A18" s="89"/>
      <c r="B18" s="263" t="s">
        <v>28</v>
      </c>
      <c r="C18" s="278">
        <v>1689.7290515038901</v>
      </c>
      <c r="D18" s="278">
        <v>1223.2</v>
      </c>
      <c r="E18" s="278">
        <v>1591.7</v>
      </c>
      <c r="F18" s="278">
        <v>1275.5999999999999</v>
      </c>
      <c r="G18" s="283">
        <v>2103.3000000000002</v>
      </c>
      <c r="H18" s="283">
        <v>2741.1</v>
      </c>
      <c r="K18" s="291"/>
    </row>
    <row r="19" spans="1:11" ht="15.75">
      <c r="A19" s="260"/>
      <c r="B19" s="284" t="s">
        <v>29</v>
      </c>
      <c r="C19" s="280">
        <f t="shared" ref="C19" si="2">SUM(C16:C18)</f>
        <v>21842.673213343489</v>
      </c>
      <c r="D19" s="280">
        <v>18868.599999999999</v>
      </c>
      <c r="E19" s="280">
        <v>26856</v>
      </c>
      <c r="F19" s="280">
        <v>29768.6</v>
      </c>
      <c r="G19" s="280">
        <v>41675.199999999997</v>
      </c>
      <c r="H19" s="280">
        <v>32884</v>
      </c>
    </row>
    <row r="20" spans="1:11" ht="15.75">
      <c r="A20" s="459" t="s">
        <v>30</v>
      </c>
      <c r="B20" s="460"/>
      <c r="C20" s="276"/>
      <c r="D20" s="276"/>
      <c r="E20" s="276"/>
      <c r="F20" s="276"/>
      <c r="G20" s="276"/>
      <c r="H20" s="276"/>
    </row>
    <row r="21" spans="1:11" ht="15.75">
      <c r="A21" s="89"/>
      <c r="B21" s="263" t="s">
        <v>31</v>
      </c>
      <c r="C21" s="277">
        <v>16037.12</v>
      </c>
      <c r="D21" s="277">
        <v>10164.799999999999</v>
      </c>
      <c r="E21" s="277">
        <v>10817.4</v>
      </c>
      <c r="F21" s="277">
        <v>18551.3</v>
      </c>
      <c r="G21" s="277">
        <v>27322.400000000001</v>
      </c>
      <c r="H21" s="277">
        <v>19888.8</v>
      </c>
    </row>
    <row r="22" spans="1:11" ht="15.75">
      <c r="A22" s="89"/>
      <c r="B22" s="263" t="s">
        <v>32</v>
      </c>
      <c r="C22" s="277">
        <v>134825.97618767701</v>
      </c>
      <c r="D22" s="277">
        <v>104072.6</v>
      </c>
      <c r="E22" s="277">
        <v>122161.60000000001</v>
      </c>
      <c r="F22" s="277">
        <v>126091.7</v>
      </c>
      <c r="G22" s="277">
        <v>156714.20000000001</v>
      </c>
      <c r="H22" s="277">
        <v>176330.5</v>
      </c>
    </row>
    <row r="23" spans="1:11" ht="15.75">
      <c r="A23" s="89"/>
      <c r="B23" s="263" t="s">
        <v>33</v>
      </c>
      <c r="C23" s="278">
        <v>3557.8</v>
      </c>
      <c r="D23" s="278">
        <v>4379.6000000000004</v>
      </c>
      <c r="E23" s="278">
        <v>4981.1000000000004</v>
      </c>
      <c r="F23" s="278">
        <v>5596.2</v>
      </c>
      <c r="G23" s="278">
        <v>6532.8</v>
      </c>
      <c r="H23" s="278">
        <v>6062</v>
      </c>
    </row>
    <row r="24" spans="1:11" ht="15.75">
      <c r="A24" s="260"/>
      <c r="B24" s="285" t="s">
        <v>34</v>
      </c>
      <c r="C24" s="280">
        <f t="shared" ref="C24" si="3">SUM(C21:C23)</f>
        <v>154420.89618767699</v>
      </c>
      <c r="D24" s="280">
        <v>118617.1</v>
      </c>
      <c r="E24" s="280">
        <v>137960.1</v>
      </c>
      <c r="F24" s="280">
        <v>150239.20000000001</v>
      </c>
      <c r="G24" s="280">
        <v>190569.4</v>
      </c>
      <c r="H24" s="280">
        <v>202281.3</v>
      </c>
    </row>
    <row r="25" spans="1:11" ht="15.75">
      <c r="A25" s="260"/>
      <c r="B25" s="285" t="s">
        <v>35</v>
      </c>
      <c r="C25" s="280">
        <f t="shared" ref="C25" si="4">C9+C14+C19+C24</f>
        <v>311313.31860978319</v>
      </c>
      <c r="D25" s="280">
        <v>317223.3</v>
      </c>
      <c r="E25" s="280">
        <v>344600.8</v>
      </c>
      <c r="F25" s="280">
        <v>365405.6</v>
      </c>
      <c r="G25" s="280">
        <v>413843</v>
      </c>
      <c r="H25" s="280">
        <v>438027.2</v>
      </c>
    </row>
    <row r="26" spans="1:11" ht="15.75">
      <c r="A26" s="459" t="s">
        <v>36</v>
      </c>
      <c r="B26" s="460"/>
      <c r="C26" s="276"/>
      <c r="D26" s="276"/>
      <c r="E26" s="276"/>
      <c r="F26" s="276"/>
      <c r="G26" s="276"/>
      <c r="H26" s="276"/>
    </row>
    <row r="27" spans="1:11" ht="15.75">
      <c r="A27" s="89"/>
      <c r="B27" s="263" t="s">
        <v>37</v>
      </c>
      <c r="C27" s="277">
        <v>93630.196216620199</v>
      </c>
      <c r="D27" s="277">
        <v>107352.6</v>
      </c>
      <c r="E27" s="277">
        <v>117144</v>
      </c>
      <c r="F27" s="277">
        <v>103500.2</v>
      </c>
      <c r="G27" s="277">
        <v>84725.2</v>
      </c>
      <c r="H27" s="277">
        <v>112675.1</v>
      </c>
    </row>
    <row r="28" spans="1:11" ht="15.75">
      <c r="A28" s="89"/>
      <c r="B28" s="263" t="s">
        <v>38</v>
      </c>
      <c r="C28" s="277">
        <v>6782.4183672526897</v>
      </c>
      <c r="D28" s="277">
        <v>7591.4</v>
      </c>
      <c r="E28" s="277">
        <v>7403.6</v>
      </c>
      <c r="F28" s="277">
        <v>10592.8</v>
      </c>
      <c r="G28" s="277">
        <v>15428.3</v>
      </c>
      <c r="H28" s="277">
        <v>14129.3</v>
      </c>
    </row>
    <row r="29" spans="1:11" ht="15.75">
      <c r="A29" s="89"/>
      <c r="B29" s="263" t="s">
        <v>39</v>
      </c>
      <c r="C29" s="277">
        <v>23047.9450826262</v>
      </c>
      <c r="D29" s="277">
        <v>20576.2</v>
      </c>
      <c r="E29" s="277">
        <v>22721.5</v>
      </c>
      <c r="F29" s="277">
        <v>33680.300000000003</v>
      </c>
      <c r="G29" s="277">
        <v>36887.5</v>
      </c>
      <c r="H29" s="277">
        <v>40997.4</v>
      </c>
    </row>
    <row r="30" spans="1:11" ht="15.75">
      <c r="A30" s="89"/>
      <c r="B30" s="263" t="s">
        <v>40</v>
      </c>
      <c r="C30" s="277">
        <v>10674.778</v>
      </c>
      <c r="D30" s="277">
        <v>9227.7999999999993</v>
      </c>
      <c r="E30" s="277">
        <v>9478.7999999999993</v>
      </c>
      <c r="F30" s="277">
        <v>9690.7000000000007</v>
      </c>
      <c r="G30" s="277">
        <v>10870.2</v>
      </c>
      <c r="H30" s="277">
        <v>8722</v>
      </c>
    </row>
    <row r="31" spans="1:11" ht="15.75">
      <c r="A31" s="89"/>
      <c r="B31" s="263" t="s">
        <v>41</v>
      </c>
      <c r="C31" s="278">
        <v>3634.8992165577802</v>
      </c>
      <c r="D31" s="278">
        <v>3661.3</v>
      </c>
      <c r="E31" s="278">
        <v>3957.7</v>
      </c>
      <c r="F31" s="278">
        <v>4155.7</v>
      </c>
      <c r="G31" s="278">
        <v>5839</v>
      </c>
      <c r="H31" s="278">
        <v>13953.4</v>
      </c>
    </row>
    <row r="32" spans="1:11" ht="15.75">
      <c r="A32" s="286"/>
      <c r="B32" s="287" t="s">
        <v>42</v>
      </c>
      <c r="C32" s="280">
        <f t="shared" ref="C32" si="5">SUM(C27:C31)</f>
        <v>137770.23688305687</v>
      </c>
      <c r="D32" s="280">
        <v>148409.29999999999</v>
      </c>
      <c r="E32" s="280">
        <v>160705.70000000001</v>
      </c>
      <c r="F32" s="280">
        <v>161619.6</v>
      </c>
      <c r="G32" s="280">
        <v>153750.20000000001</v>
      </c>
      <c r="H32" s="280">
        <v>190477.3</v>
      </c>
    </row>
    <row r="33" spans="1:8" ht="15.75">
      <c r="A33" s="461" t="s">
        <v>43</v>
      </c>
      <c r="B33" s="462"/>
      <c r="C33" s="280">
        <f t="shared" ref="C33" si="6">C25+C32</f>
        <v>449083.55549284007</v>
      </c>
      <c r="D33" s="280">
        <v>465632.5</v>
      </c>
      <c r="E33" s="280">
        <v>505306.5</v>
      </c>
      <c r="F33" s="280">
        <v>527025.19999999995</v>
      </c>
      <c r="G33" s="280">
        <v>567593.19999999995</v>
      </c>
      <c r="H33" s="280">
        <v>628504.5</v>
      </c>
    </row>
    <row r="34" spans="1:8" ht="15.75">
      <c r="A34" s="459" t="s">
        <v>44</v>
      </c>
      <c r="B34" s="459"/>
      <c r="C34" s="288"/>
      <c r="D34" s="288"/>
      <c r="E34" s="288"/>
      <c r="F34" s="288"/>
      <c r="G34" s="288"/>
      <c r="H34" s="9"/>
    </row>
    <row r="35" spans="1:8" ht="16.5">
      <c r="A35" s="89" t="s">
        <v>45</v>
      </c>
      <c r="B35" s="89"/>
      <c r="C35" s="89"/>
      <c r="D35" s="89"/>
      <c r="E35" s="89"/>
      <c r="F35" s="89"/>
      <c r="G35" s="9"/>
      <c r="H35" s="9"/>
    </row>
  </sheetData>
  <mergeCells count="8">
    <mergeCell ref="A26:B26"/>
    <mergeCell ref="A33:B33"/>
    <mergeCell ref="A34:B34"/>
    <mergeCell ref="A1:F1"/>
    <mergeCell ref="A5:B5"/>
    <mergeCell ref="A10:B10"/>
    <mergeCell ref="A15:B15"/>
    <mergeCell ref="A20:B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showGridLines="0" workbookViewId="0">
      <selection activeCell="C3" sqref="C3:G17"/>
    </sheetView>
  </sheetViews>
  <sheetFormatPr defaultColWidth="9" defaultRowHeight="15"/>
  <cols>
    <col min="1" max="1" width="12.85546875" customWidth="1"/>
    <col min="2" max="2" width="25.5703125" customWidth="1"/>
    <col min="3" max="7" width="9.7109375" customWidth="1"/>
  </cols>
  <sheetData>
    <row r="1" spans="1:13" ht="15.75">
      <c r="A1" s="258" t="s">
        <v>268</v>
      </c>
      <c r="B1" s="258"/>
      <c r="C1" s="258"/>
      <c r="D1" s="258"/>
      <c r="E1" s="258"/>
      <c r="F1" s="259"/>
      <c r="G1" s="9"/>
    </row>
    <row r="2" spans="1:13" ht="15.75">
      <c r="A2" s="464" t="s">
        <v>46</v>
      </c>
      <c r="B2" s="464"/>
      <c r="C2" s="464"/>
      <c r="D2" s="464"/>
      <c r="E2" s="464"/>
      <c r="F2" s="464"/>
      <c r="G2" s="464"/>
    </row>
    <row r="3" spans="1:13" ht="15.75">
      <c r="A3" s="260"/>
      <c r="B3" s="261"/>
      <c r="C3" s="262">
        <v>2019</v>
      </c>
      <c r="D3" s="262">
        <v>2020</v>
      </c>
      <c r="E3" s="262">
        <v>2021</v>
      </c>
      <c r="F3" s="262">
        <v>2022</v>
      </c>
      <c r="G3" s="262" t="s">
        <v>14</v>
      </c>
    </row>
    <row r="4" spans="1:13" ht="15.75">
      <c r="A4" s="89" t="s">
        <v>47</v>
      </c>
      <c r="B4" s="263" t="s">
        <v>48</v>
      </c>
      <c r="C4" s="264">
        <v>111.1</v>
      </c>
      <c r="D4" s="264">
        <v>90.5</v>
      </c>
      <c r="E4" s="264">
        <v>77.7</v>
      </c>
      <c r="F4" s="265">
        <v>59.6</v>
      </c>
      <c r="G4" s="265">
        <v>89.4</v>
      </c>
    </row>
    <row r="5" spans="1:13" ht="15.75">
      <c r="A5" s="266" t="s">
        <v>49</v>
      </c>
      <c r="B5" s="263" t="s">
        <v>50</v>
      </c>
      <c r="C5" s="267">
        <v>95.9</v>
      </c>
      <c r="D5" s="267">
        <v>135.19999999999999</v>
      </c>
      <c r="E5" s="267">
        <v>147.19999999999999</v>
      </c>
      <c r="F5" s="267">
        <v>163.9</v>
      </c>
      <c r="G5" s="267">
        <v>111.1</v>
      </c>
    </row>
    <row r="6" spans="1:13" ht="16.5">
      <c r="A6" s="266"/>
      <c r="B6" s="263" t="s">
        <v>51</v>
      </c>
      <c r="C6" s="267">
        <v>99.6</v>
      </c>
      <c r="D6" s="267">
        <v>89.4</v>
      </c>
      <c r="E6" s="267">
        <v>118.9</v>
      </c>
      <c r="F6" s="267">
        <v>114.8</v>
      </c>
      <c r="G6" s="267">
        <v>124.5</v>
      </c>
    </row>
    <row r="7" spans="1:13" ht="15.75">
      <c r="A7" s="89"/>
      <c r="B7" s="263" t="s">
        <v>52</v>
      </c>
      <c r="C7" s="268">
        <v>93.5</v>
      </c>
      <c r="D7" s="268">
        <v>111.1</v>
      </c>
      <c r="E7" s="268">
        <v>106.6</v>
      </c>
      <c r="F7" s="268">
        <v>109.9</v>
      </c>
      <c r="G7" s="268">
        <v>112.8</v>
      </c>
    </row>
    <row r="8" spans="1:13" ht="15.75">
      <c r="A8" s="89"/>
      <c r="B8" s="263" t="s">
        <v>53</v>
      </c>
      <c r="C8" s="269">
        <v>98.5</v>
      </c>
      <c r="D8" s="269">
        <v>102.7</v>
      </c>
      <c r="E8" s="269">
        <v>116.1</v>
      </c>
      <c r="F8" s="269">
        <v>115.7</v>
      </c>
      <c r="G8" s="269">
        <v>120</v>
      </c>
    </row>
    <row r="9" spans="1:13" ht="15.75">
      <c r="A9" s="89"/>
      <c r="B9" s="263" t="s">
        <v>54</v>
      </c>
      <c r="C9" s="269">
        <v>102.9</v>
      </c>
      <c r="D9" s="269">
        <v>105.5</v>
      </c>
      <c r="E9" s="269">
        <v>94.7</v>
      </c>
      <c r="F9" s="269">
        <v>90.5</v>
      </c>
      <c r="G9" s="269">
        <v>102.7</v>
      </c>
    </row>
    <row r="10" spans="1:13" ht="15.75">
      <c r="A10" s="260"/>
      <c r="B10" s="261" t="s">
        <v>55</v>
      </c>
      <c r="C10" s="269">
        <v>99.4</v>
      </c>
      <c r="D10" s="269">
        <v>103.2</v>
      </c>
      <c r="E10" s="269">
        <v>114</v>
      </c>
      <c r="F10" s="269">
        <v>110.8</v>
      </c>
      <c r="G10" s="269">
        <v>116.6</v>
      </c>
    </row>
    <row r="11" spans="1:13" ht="15.75">
      <c r="A11" s="270" t="s">
        <v>56</v>
      </c>
      <c r="B11" s="263" t="s">
        <v>57</v>
      </c>
      <c r="C11" s="264">
        <v>118.9</v>
      </c>
      <c r="D11" s="264">
        <v>113.6</v>
      </c>
      <c r="E11" s="264">
        <v>123.8</v>
      </c>
      <c r="F11" s="264">
        <v>183.5</v>
      </c>
      <c r="G11" s="264">
        <v>178.1</v>
      </c>
    </row>
    <row r="12" spans="1:13" ht="15.75">
      <c r="A12" s="270" t="s">
        <v>58</v>
      </c>
      <c r="B12" s="263" t="s">
        <v>59</v>
      </c>
      <c r="C12" s="267">
        <v>96.6</v>
      </c>
      <c r="D12" s="267">
        <v>94.3</v>
      </c>
      <c r="E12" s="267">
        <v>98.6</v>
      </c>
      <c r="F12" s="267">
        <v>99.8</v>
      </c>
      <c r="G12" s="267">
        <v>112.7</v>
      </c>
    </row>
    <row r="13" spans="1:13" ht="16.5">
      <c r="A13" s="266"/>
      <c r="B13" s="263" t="s">
        <v>60</v>
      </c>
      <c r="C13" s="267">
        <v>97.3</v>
      </c>
      <c r="D13" s="267">
        <v>110.1</v>
      </c>
      <c r="E13" s="267">
        <v>90.4</v>
      </c>
      <c r="F13" s="267">
        <v>84.1</v>
      </c>
      <c r="G13" s="267">
        <v>81.5</v>
      </c>
    </row>
    <row r="14" spans="1:13" ht="15.75">
      <c r="A14" s="89"/>
      <c r="B14" s="263" t="s">
        <v>61</v>
      </c>
      <c r="C14" s="268">
        <v>86.6</v>
      </c>
      <c r="D14" s="268">
        <v>85.9</v>
      </c>
      <c r="E14" s="268">
        <v>98.3</v>
      </c>
      <c r="F14" s="268">
        <v>114.5</v>
      </c>
      <c r="G14" s="268">
        <v>123.4</v>
      </c>
    </row>
    <row r="15" spans="1:13" ht="15.75">
      <c r="A15" s="89"/>
      <c r="B15" s="263" t="s">
        <v>62</v>
      </c>
      <c r="C15" s="269">
        <v>91.6</v>
      </c>
      <c r="D15" s="269">
        <v>97.7</v>
      </c>
      <c r="E15" s="269">
        <v>93</v>
      </c>
      <c r="F15" s="269">
        <v>101.6</v>
      </c>
      <c r="G15" s="269">
        <v>102.2</v>
      </c>
    </row>
    <row r="16" spans="1:13" ht="16.5">
      <c r="A16" s="89"/>
      <c r="B16" s="263" t="s">
        <v>63</v>
      </c>
      <c r="C16" s="264">
        <v>98.1</v>
      </c>
      <c r="D16" s="264">
        <v>104.4</v>
      </c>
      <c r="E16" s="264">
        <v>124.7</v>
      </c>
      <c r="F16" s="264">
        <v>120.5</v>
      </c>
      <c r="G16" s="264">
        <v>143.5</v>
      </c>
      <c r="M16" s="273"/>
    </row>
    <row r="17" spans="1:10" ht="15.75">
      <c r="A17" s="260"/>
      <c r="B17" s="261" t="s">
        <v>64</v>
      </c>
      <c r="C17" s="269">
        <v>92.8</v>
      </c>
      <c r="D17" s="269">
        <v>99.1</v>
      </c>
      <c r="E17" s="269">
        <v>95.2</v>
      </c>
      <c r="F17" s="269">
        <v>105.3</v>
      </c>
      <c r="G17" s="269">
        <v>105.8</v>
      </c>
      <c r="J17" s="392"/>
    </row>
    <row r="18" spans="1:10" ht="15.75">
      <c r="A18" s="89" t="s">
        <v>44</v>
      </c>
      <c r="B18" s="89"/>
      <c r="C18" s="89"/>
      <c r="D18" s="271"/>
      <c r="E18" s="89"/>
      <c r="F18" s="11"/>
      <c r="G18" s="9"/>
    </row>
    <row r="19" spans="1:10" ht="16.5">
      <c r="A19" s="465" t="s">
        <v>45</v>
      </c>
      <c r="B19" s="459"/>
      <c r="C19" s="272"/>
      <c r="D19" s="272"/>
      <c r="E19" s="272"/>
      <c r="F19" s="272"/>
      <c r="G19" s="9"/>
    </row>
  </sheetData>
  <mergeCells count="2">
    <mergeCell ref="A2:G2"/>
    <mergeCell ref="A19:B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showGridLines="0" workbookViewId="0">
      <selection activeCell="D19" sqref="D19"/>
    </sheetView>
  </sheetViews>
  <sheetFormatPr defaultColWidth="9" defaultRowHeight="15"/>
  <cols>
    <col min="1" max="1" width="26.5703125" customWidth="1"/>
    <col min="2" max="2" width="9.42578125" customWidth="1"/>
    <col min="3" max="7" width="12.7109375" customWidth="1"/>
    <col min="8" max="8" width="14.28515625" bestFit="1" customWidth="1"/>
    <col min="9" max="9" width="21.85546875" customWidth="1"/>
  </cols>
  <sheetData>
    <row r="1" spans="1:11" ht="16.5">
      <c r="A1" s="466" t="s">
        <v>269</v>
      </c>
      <c r="B1" s="466"/>
      <c r="C1" s="466"/>
      <c r="D1" s="466"/>
      <c r="E1" s="466"/>
      <c r="F1" s="9"/>
      <c r="G1" s="9"/>
    </row>
    <row r="2" spans="1:11" ht="15.75">
      <c r="A2" s="234"/>
      <c r="B2" s="234"/>
      <c r="C2" s="238"/>
      <c r="D2" s="238"/>
      <c r="E2" s="9"/>
      <c r="G2" s="239" t="s">
        <v>65</v>
      </c>
    </row>
    <row r="3" spans="1:11" ht="15.75">
      <c r="A3" s="217"/>
      <c r="B3" s="240" t="s">
        <v>66</v>
      </c>
      <c r="C3" s="304">
        <v>2019</v>
      </c>
      <c r="D3" s="304">
        <v>2020</v>
      </c>
      <c r="E3" s="304">
        <v>2021</v>
      </c>
      <c r="F3" s="304">
        <v>2022</v>
      </c>
      <c r="G3" s="304" t="s">
        <v>395</v>
      </c>
    </row>
    <row r="4" spans="1:11" ht="15.75">
      <c r="A4" s="241" t="s">
        <v>67</v>
      </c>
      <c r="B4" s="242" t="s">
        <v>68</v>
      </c>
      <c r="C4" s="243">
        <v>30227.22</v>
      </c>
      <c r="D4" s="243">
        <v>44304</v>
      </c>
      <c r="E4" s="243">
        <v>65864.929999999993</v>
      </c>
      <c r="F4" s="244">
        <v>48871.38</v>
      </c>
      <c r="G4" s="244">
        <v>61416.19</v>
      </c>
    </row>
    <row r="5" spans="1:11" ht="15.75">
      <c r="A5" s="241" t="s">
        <v>69</v>
      </c>
      <c r="B5" s="245" t="s">
        <v>68</v>
      </c>
      <c r="C5" s="246">
        <v>22681.040000000001</v>
      </c>
      <c r="D5" s="246">
        <v>21414.38</v>
      </c>
      <c r="E5" s="246">
        <v>23444.400000000001</v>
      </c>
      <c r="F5" s="247">
        <v>29384.79</v>
      </c>
      <c r="G5" s="247">
        <v>28371</v>
      </c>
    </row>
    <row r="6" spans="1:11" ht="15.75">
      <c r="A6" s="241" t="s">
        <v>70</v>
      </c>
      <c r="B6" s="245" t="s">
        <v>68</v>
      </c>
      <c r="C6" s="246">
        <v>16459.009999999998</v>
      </c>
      <c r="D6" s="246">
        <v>16424.189999999999</v>
      </c>
      <c r="E6" s="246">
        <v>17374.79</v>
      </c>
      <c r="F6" s="247">
        <v>20296.2</v>
      </c>
      <c r="G6" s="247">
        <v>23700.73</v>
      </c>
    </row>
    <row r="7" spans="1:11" ht="15.75">
      <c r="A7" s="241" t="s">
        <v>71</v>
      </c>
      <c r="B7" s="245" t="s">
        <v>72</v>
      </c>
      <c r="C7" s="246">
        <v>3853</v>
      </c>
      <c r="D7" s="246">
        <v>3707</v>
      </c>
      <c r="E7" s="246">
        <v>3912</v>
      </c>
      <c r="F7" s="247">
        <v>4514</v>
      </c>
      <c r="G7" s="247">
        <v>5333</v>
      </c>
    </row>
    <row r="8" spans="1:11" ht="15.75">
      <c r="A8" s="241" t="s">
        <v>73</v>
      </c>
      <c r="B8" s="245" t="s">
        <v>74</v>
      </c>
      <c r="C8" s="248">
        <v>5200</v>
      </c>
      <c r="D8" s="248">
        <v>5903.77</v>
      </c>
      <c r="E8" s="248">
        <v>5023.5200000000004</v>
      </c>
      <c r="F8" s="249">
        <v>5630.57</v>
      </c>
      <c r="G8" s="249">
        <v>5993.2</v>
      </c>
    </row>
    <row r="9" spans="1:11" ht="15.75">
      <c r="A9" s="241" t="s">
        <v>75</v>
      </c>
      <c r="B9" s="245" t="s">
        <v>68</v>
      </c>
      <c r="C9" s="248">
        <v>3372.59</v>
      </c>
      <c r="D9" s="248">
        <v>3152.59</v>
      </c>
      <c r="E9" s="248">
        <v>3002.66</v>
      </c>
      <c r="F9" s="249">
        <v>5301.03</v>
      </c>
      <c r="G9" s="249">
        <v>6116.68</v>
      </c>
      <c r="H9" s="429"/>
      <c r="I9" s="257"/>
      <c r="J9" s="257"/>
      <c r="K9" s="257"/>
    </row>
    <row r="10" spans="1:11" ht="15.75">
      <c r="A10" s="241" t="s">
        <v>76</v>
      </c>
      <c r="B10" s="245" t="s">
        <v>68</v>
      </c>
      <c r="C10" s="246">
        <v>3833.53</v>
      </c>
      <c r="D10" s="246">
        <v>3662</v>
      </c>
      <c r="E10" s="246">
        <v>4297.91</v>
      </c>
      <c r="F10" s="247">
        <v>5971.28</v>
      </c>
      <c r="G10" s="247">
        <v>5043.71</v>
      </c>
    </row>
    <row r="11" spans="1:11" ht="15.75">
      <c r="A11" s="241" t="s">
        <v>77</v>
      </c>
      <c r="B11" s="245" t="s">
        <v>68</v>
      </c>
      <c r="C11" s="246">
        <v>42221.67</v>
      </c>
      <c r="D11" s="246">
        <v>42509.52</v>
      </c>
      <c r="E11" s="246">
        <v>44839.6</v>
      </c>
      <c r="F11" s="247">
        <v>46522.14</v>
      </c>
      <c r="G11" s="247">
        <v>56400</v>
      </c>
      <c r="I11" s="213"/>
      <c r="K11" s="213"/>
    </row>
    <row r="12" spans="1:11" ht="15.75">
      <c r="A12" s="241" t="s">
        <v>78</v>
      </c>
      <c r="B12" s="245" t="s">
        <v>68</v>
      </c>
      <c r="C12" s="246">
        <v>23295.919999999998</v>
      </c>
      <c r="D12" s="246">
        <v>25933.31</v>
      </c>
      <c r="E12" s="246">
        <v>24550.9</v>
      </c>
      <c r="F12" s="247">
        <v>25962.2</v>
      </c>
      <c r="G12" s="247">
        <v>28765.11</v>
      </c>
    </row>
    <row r="13" spans="1:11" ht="15.75">
      <c r="A13" s="250" t="s">
        <v>79</v>
      </c>
      <c r="B13" s="251" t="s">
        <v>80</v>
      </c>
      <c r="C13" s="252">
        <v>3000</v>
      </c>
      <c r="D13" s="252">
        <v>3320.5</v>
      </c>
      <c r="E13" s="252">
        <v>4200</v>
      </c>
      <c r="F13" s="253">
        <v>4720.43</v>
      </c>
      <c r="G13" s="252">
        <v>5083</v>
      </c>
      <c r="I13" s="192"/>
    </row>
    <row r="14" spans="1:11" ht="15.75">
      <c r="A14" s="234" t="s">
        <v>81</v>
      </c>
      <c r="B14" s="254"/>
      <c r="C14" s="255"/>
      <c r="D14" s="256"/>
      <c r="E14" s="256"/>
      <c r="F14" s="9"/>
      <c r="G14" s="9"/>
    </row>
    <row r="15" spans="1:11" ht="28.5" customHeight="1">
      <c r="A15" s="467" t="s">
        <v>82</v>
      </c>
      <c r="B15" s="467"/>
      <c r="C15" s="467"/>
      <c r="D15" s="467"/>
      <c r="E15" s="467"/>
      <c r="F15" s="9"/>
      <c r="G15" s="9"/>
    </row>
    <row r="17" spans="6:6">
      <c r="F17" s="192"/>
    </row>
  </sheetData>
  <mergeCells count="2">
    <mergeCell ref="A1:E1"/>
    <mergeCell ref="A15:E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showGridLines="0" workbookViewId="0">
      <selection activeCell="B7" sqref="B7:H11"/>
    </sheetView>
  </sheetViews>
  <sheetFormatPr defaultColWidth="9" defaultRowHeight="15"/>
  <cols>
    <col min="1" max="1" width="8.85546875" customWidth="1"/>
    <col min="2" max="2" width="12.7109375" customWidth="1"/>
    <col min="3" max="3" width="8.85546875" customWidth="1"/>
    <col min="4" max="4" width="12.7109375" customWidth="1"/>
    <col min="5" max="5" width="8.85546875" customWidth="1"/>
    <col min="6" max="6" width="12.7109375" customWidth="1"/>
    <col min="7" max="7" width="11.140625" customWidth="1"/>
    <col min="8" max="8" width="12.85546875" customWidth="1"/>
    <col min="9" max="9" width="13.7109375" bestFit="1" customWidth="1"/>
    <col min="10" max="10" width="14.7109375" customWidth="1"/>
  </cols>
  <sheetData>
    <row r="1" spans="1:11" ht="15.75">
      <c r="A1" s="2" t="s">
        <v>270</v>
      </c>
      <c r="B1" s="2"/>
      <c r="C1" s="2"/>
      <c r="D1" s="2"/>
      <c r="E1" s="2"/>
      <c r="F1" s="9"/>
      <c r="G1" s="9"/>
      <c r="H1" s="9"/>
      <c r="I1" s="9"/>
    </row>
    <row r="2" spans="1:11" ht="15.75">
      <c r="A2" s="472"/>
      <c r="B2" s="472"/>
      <c r="C2" s="472"/>
      <c r="D2" s="472"/>
      <c r="E2" s="472"/>
      <c r="F2" s="472"/>
      <c r="G2" s="472"/>
      <c r="H2" s="216"/>
      <c r="I2" s="9"/>
    </row>
    <row r="3" spans="1:11" ht="16.5">
      <c r="A3" s="469" t="s">
        <v>83</v>
      </c>
      <c r="B3" s="473" t="s">
        <v>84</v>
      </c>
      <c r="C3" s="474"/>
      <c r="D3" s="473" t="s">
        <v>85</v>
      </c>
      <c r="E3" s="474"/>
      <c r="F3" s="475" t="s">
        <v>86</v>
      </c>
      <c r="G3" s="476"/>
      <c r="H3" s="218" t="s">
        <v>87</v>
      </c>
      <c r="I3" s="9"/>
    </row>
    <row r="4" spans="1:11" ht="15.75">
      <c r="A4" s="470"/>
      <c r="B4" s="219"/>
      <c r="C4" s="219" t="s">
        <v>88</v>
      </c>
      <c r="D4" s="219"/>
      <c r="E4" s="219" t="s">
        <v>88</v>
      </c>
      <c r="F4" s="219"/>
      <c r="G4" s="219" t="s">
        <v>88</v>
      </c>
      <c r="H4" s="220" t="s">
        <v>89</v>
      </c>
      <c r="I4" s="9"/>
    </row>
    <row r="5" spans="1:11" ht="15.75">
      <c r="A5" s="470"/>
      <c r="B5" s="221" t="s">
        <v>13</v>
      </c>
      <c r="C5" s="221" t="s">
        <v>87</v>
      </c>
      <c r="D5" s="221" t="s">
        <v>13</v>
      </c>
      <c r="E5" s="221" t="s">
        <v>87</v>
      </c>
      <c r="F5" s="221" t="s">
        <v>13</v>
      </c>
      <c r="G5" s="221" t="s">
        <v>87</v>
      </c>
      <c r="H5" s="220" t="s">
        <v>90</v>
      </c>
      <c r="I5" s="9"/>
    </row>
    <row r="6" spans="1:11" ht="15.75">
      <c r="A6" s="471"/>
      <c r="B6" s="222"/>
      <c r="C6" s="222" t="s">
        <v>91</v>
      </c>
      <c r="D6" s="222"/>
      <c r="E6" s="222" t="s">
        <v>91</v>
      </c>
      <c r="F6" s="222"/>
      <c r="G6" s="222" t="s">
        <v>91</v>
      </c>
      <c r="H6" s="223" t="s">
        <v>92</v>
      </c>
      <c r="I6" s="9"/>
    </row>
    <row r="7" spans="1:11" ht="15.75">
      <c r="A7" s="224">
        <v>2019</v>
      </c>
      <c r="B7" s="225">
        <v>124789.5</v>
      </c>
      <c r="C7" s="226">
        <v>-6.8</v>
      </c>
      <c r="D7" s="227">
        <v>340843</v>
      </c>
      <c r="E7" s="227">
        <v>-6.4</v>
      </c>
      <c r="F7" s="227">
        <v>465632.5</v>
      </c>
      <c r="G7" s="228">
        <v>-6.5</v>
      </c>
      <c r="H7" s="229">
        <v>73.2</v>
      </c>
      <c r="I7" s="237"/>
      <c r="J7" s="237"/>
      <c r="K7" s="192"/>
    </row>
    <row r="8" spans="1:11" ht="15.75">
      <c r="A8" s="224">
        <v>2020</v>
      </c>
      <c r="B8" s="227">
        <v>134916.79999999999</v>
      </c>
      <c r="C8" s="226">
        <v>8.1</v>
      </c>
      <c r="D8" s="227">
        <v>370389.7</v>
      </c>
      <c r="E8" s="227">
        <v>8.6999999999999993</v>
      </c>
      <c r="F8" s="227">
        <v>505306.5</v>
      </c>
      <c r="G8" s="228">
        <v>8.5</v>
      </c>
      <c r="H8" s="229">
        <v>73.3</v>
      </c>
      <c r="I8" s="335"/>
      <c r="J8" s="237"/>
      <c r="K8" s="192"/>
    </row>
    <row r="9" spans="1:11" ht="15.75">
      <c r="A9" s="224">
        <v>2021</v>
      </c>
      <c r="B9" s="227">
        <v>141769.79999999999</v>
      </c>
      <c r="C9" s="226">
        <v>5.0999999999999996</v>
      </c>
      <c r="D9" s="227">
        <v>385255.4</v>
      </c>
      <c r="E9" s="227">
        <v>4</v>
      </c>
      <c r="F9" s="227">
        <v>527025.19999999995</v>
      </c>
      <c r="G9" s="228">
        <v>4.3</v>
      </c>
      <c r="H9" s="229">
        <v>73.099999999999994</v>
      </c>
      <c r="I9" s="335"/>
      <c r="J9" s="237"/>
      <c r="K9" s="192"/>
    </row>
    <row r="10" spans="1:11" ht="15.75">
      <c r="A10" s="224">
        <v>2022</v>
      </c>
      <c r="B10" s="310">
        <v>153250.20000000001</v>
      </c>
      <c r="C10" s="311">
        <v>7.7</v>
      </c>
      <c r="D10" s="310">
        <v>414343</v>
      </c>
      <c r="E10" s="311">
        <v>7.2</v>
      </c>
      <c r="F10" s="310">
        <v>567593.19999999995</v>
      </c>
      <c r="G10" s="311">
        <v>7.3</v>
      </c>
      <c r="H10" s="229">
        <v>73</v>
      </c>
      <c r="I10" s="335"/>
      <c r="J10" s="237"/>
      <c r="K10" s="192"/>
    </row>
    <row r="11" spans="1:11" ht="15.75">
      <c r="A11" s="230" t="s">
        <v>14</v>
      </c>
      <c r="B11" s="231">
        <v>168439.2</v>
      </c>
      <c r="C11" s="232">
        <v>10.4</v>
      </c>
      <c r="D11" s="231">
        <v>460065.3</v>
      </c>
      <c r="E11" s="232">
        <v>11.5</v>
      </c>
      <c r="F11" s="231">
        <v>628504.5</v>
      </c>
      <c r="G11" s="232">
        <v>11.2</v>
      </c>
      <c r="H11" s="233">
        <v>73.2</v>
      </c>
      <c r="I11" s="335"/>
      <c r="J11" s="329"/>
    </row>
    <row r="12" spans="1:11" ht="15.75">
      <c r="A12" s="468" t="s">
        <v>44</v>
      </c>
      <c r="B12" s="468"/>
      <c r="C12" s="235"/>
      <c r="D12" s="236"/>
      <c r="E12" s="234"/>
      <c r="F12" s="236"/>
      <c r="G12" s="234"/>
      <c r="H12" s="234"/>
      <c r="I12" s="9"/>
    </row>
    <row r="13" spans="1:11" ht="16.5">
      <c r="A13" s="234" t="s">
        <v>93</v>
      </c>
      <c r="B13" s="234"/>
      <c r="C13" s="235"/>
      <c r="D13" s="236"/>
      <c r="E13" s="234"/>
      <c r="F13" s="236"/>
      <c r="G13" s="234"/>
      <c r="H13" s="234"/>
      <c r="I13" s="9"/>
    </row>
    <row r="14" spans="1:11" ht="15.75">
      <c r="A14" s="9"/>
      <c r="B14" s="9"/>
      <c r="C14" s="430"/>
      <c r="D14" s="9"/>
      <c r="E14" s="9"/>
      <c r="F14" s="9"/>
      <c r="G14" s="9"/>
      <c r="H14" s="9"/>
      <c r="I14" s="9"/>
    </row>
    <row r="15" spans="1:11" ht="15.75">
      <c r="A15" s="9"/>
      <c r="B15" s="9"/>
      <c r="C15" s="9"/>
      <c r="D15" s="430"/>
      <c r="E15" s="430"/>
      <c r="F15" s="9"/>
      <c r="G15" s="9"/>
      <c r="H15" s="9"/>
      <c r="I15" s="9"/>
    </row>
    <row r="16" spans="1:11">
      <c r="E16" s="429"/>
    </row>
  </sheetData>
  <mergeCells count="6">
    <mergeCell ref="A12:B12"/>
    <mergeCell ref="A3:A6"/>
    <mergeCell ref="A2:G2"/>
    <mergeCell ref="B3:C3"/>
    <mergeCell ref="D3:E3"/>
    <mergeCell ref="F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showGridLines="0" workbookViewId="0">
      <selection activeCell="A4" sqref="A4"/>
    </sheetView>
  </sheetViews>
  <sheetFormatPr defaultColWidth="9" defaultRowHeight="15"/>
  <cols>
    <col min="1" max="1" width="28.42578125" customWidth="1"/>
    <col min="2" max="2" width="15.140625" bestFit="1" customWidth="1"/>
    <col min="3" max="3" width="6.85546875" bestFit="1" customWidth="1"/>
    <col min="9" max="9" width="14.85546875" customWidth="1"/>
    <col min="10" max="10" width="13.140625" bestFit="1" customWidth="1"/>
  </cols>
  <sheetData>
    <row r="1" spans="1:11" ht="15.75">
      <c r="A1" s="8" t="s">
        <v>362</v>
      </c>
      <c r="B1" s="8"/>
      <c r="C1" s="8"/>
      <c r="D1" s="8"/>
      <c r="E1" s="8"/>
    </row>
    <row r="3" spans="1:11" ht="16.5">
      <c r="A3" s="13" t="s">
        <v>94</v>
      </c>
      <c r="B3" s="66" t="s">
        <v>95</v>
      </c>
      <c r="C3" s="136">
        <v>2019</v>
      </c>
      <c r="D3" s="136">
        <v>2020</v>
      </c>
      <c r="E3" s="136">
        <v>2021</v>
      </c>
      <c r="F3" s="136">
        <v>2022</v>
      </c>
      <c r="G3" s="136" t="s">
        <v>14</v>
      </c>
    </row>
    <row r="4" spans="1:11" ht="15.75">
      <c r="A4" s="146" t="s">
        <v>96</v>
      </c>
      <c r="B4" s="314" t="s">
        <v>97</v>
      </c>
      <c r="C4" s="209">
        <v>44</v>
      </c>
      <c r="D4" s="209">
        <v>42.1</v>
      </c>
      <c r="E4" s="209">
        <v>36.700000000000003</v>
      </c>
      <c r="F4" s="209">
        <v>34.299999999999997</v>
      </c>
      <c r="G4" s="209">
        <v>47.6</v>
      </c>
      <c r="J4" s="9"/>
      <c r="K4" s="9"/>
    </row>
    <row r="5" spans="1:11" ht="15.75">
      <c r="A5" s="25" t="s">
        <v>98</v>
      </c>
      <c r="B5" s="315" t="s">
        <v>97</v>
      </c>
      <c r="C5" s="210">
        <v>8.3000000000000007</v>
      </c>
      <c r="D5" s="210">
        <v>8.6</v>
      </c>
      <c r="E5" s="210">
        <v>7.4</v>
      </c>
      <c r="F5" s="210">
        <v>8.3000000000000007</v>
      </c>
      <c r="G5" s="210">
        <v>9.6</v>
      </c>
      <c r="J5" s="9"/>
      <c r="K5" s="9"/>
    </row>
    <row r="6" spans="1:11" ht="15.75">
      <c r="A6" s="25" t="s">
        <v>99</v>
      </c>
      <c r="B6" s="315" t="s">
        <v>100</v>
      </c>
      <c r="C6" s="210">
        <v>2</v>
      </c>
      <c r="D6" s="210">
        <v>1.9</v>
      </c>
      <c r="E6" s="210">
        <v>2.1</v>
      </c>
      <c r="F6" s="210">
        <v>1.8</v>
      </c>
      <c r="G6" s="210">
        <v>2.2999999999999998</v>
      </c>
    </row>
    <row r="7" spans="1:11" ht="15.75">
      <c r="A7" s="25" t="s">
        <v>275</v>
      </c>
      <c r="B7" s="315" t="s">
        <v>97</v>
      </c>
      <c r="C7" s="210">
        <v>3.2</v>
      </c>
      <c r="D7" s="210">
        <v>3.5</v>
      </c>
      <c r="E7" s="210">
        <v>1.5</v>
      </c>
      <c r="F7" s="210">
        <v>1.3</v>
      </c>
      <c r="G7" s="210">
        <v>2.2000000000000002</v>
      </c>
      <c r="I7" s="320"/>
    </row>
    <row r="8" spans="1:11" ht="15.75">
      <c r="A8" s="69" t="s">
        <v>276</v>
      </c>
      <c r="B8" s="316" t="s">
        <v>97</v>
      </c>
      <c r="C8" s="211">
        <v>1.5</v>
      </c>
      <c r="D8" s="211">
        <v>1.7</v>
      </c>
      <c r="E8" s="211">
        <v>0.7</v>
      </c>
      <c r="F8" s="211">
        <v>0.7</v>
      </c>
      <c r="G8" s="211">
        <v>1</v>
      </c>
      <c r="I8" s="320"/>
    </row>
    <row r="9" spans="1:11" ht="15.75">
      <c r="A9" s="11" t="s">
        <v>101</v>
      </c>
      <c r="B9" s="26"/>
      <c r="C9" s="11"/>
      <c r="D9" s="11"/>
      <c r="E9" s="11"/>
      <c r="F9" s="9"/>
    </row>
    <row r="10" spans="1:11" ht="15.75">
      <c r="A10" s="11" t="s">
        <v>102</v>
      </c>
      <c r="B10" s="9"/>
      <c r="C10" s="9"/>
      <c r="D10" s="9"/>
      <c r="H10" s="9"/>
      <c r="I10" s="320"/>
    </row>
    <row r="11" spans="1:11" ht="16.5">
      <c r="A11" s="11" t="s">
        <v>103</v>
      </c>
      <c r="B11" s="9"/>
      <c r="C11" s="9"/>
      <c r="D11" s="9"/>
      <c r="F11" s="70"/>
      <c r="G11" s="70"/>
    </row>
    <row r="17" spans="4:7">
      <c r="D17" s="70"/>
      <c r="E17" s="70"/>
      <c r="F17" s="70"/>
      <c r="G17" s="70"/>
    </row>
    <row r="18" spans="4:7">
      <c r="D18" s="70"/>
      <c r="E18" s="70"/>
      <c r="F18" s="70"/>
      <c r="G18" s="70"/>
    </row>
    <row r="19" spans="4:7">
      <c r="D19" s="70"/>
      <c r="E19" s="70"/>
      <c r="F19" s="70"/>
      <c r="G19" s="70"/>
    </row>
    <row r="20" spans="4:7">
      <c r="D20" s="70"/>
      <c r="E20" s="70"/>
      <c r="F20" s="70"/>
      <c r="G20" s="70"/>
    </row>
    <row r="21" spans="4:7">
      <c r="D21" s="70"/>
      <c r="E21" s="70"/>
      <c r="F21" s="70"/>
      <c r="G21" s="70"/>
    </row>
    <row r="22" spans="4:7">
      <c r="D22" s="70"/>
    </row>
    <row r="23" spans="4:7">
      <c r="D23" s="7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showGridLines="0" workbookViewId="0">
      <selection activeCell="H12" sqref="H12"/>
    </sheetView>
  </sheetViews>
  <sheetFormatPr defaultColWidth="8.85546875" defaultRowHeight="11.25"/>
  <cols>
    <col min="1" max="1" width="18.42578125" style="193" customWidth="1"/>
    <col min="2" max="2" width="7.42578125" style="193" customWidth="1"/>
    <col min="3" max="3" width="8.140625" style="193" customWidth="1"/>
    <col min="4" max="4" width="9.5703125" style="193" customWidth="1"/>
    <col min="5" max="5" width="10" style="193" customWidth="1"/>
    <col min="6" max="6" width="8.7109375" style="193" customWidth="1"/>
    <col min="7" max="7" width="7.85546875" style="193" customWidth="1"/>
    <col min="8" max="8" width="7.42578125" style="193" customWidth="1"/>
    <col min="9" max="9" width="8.7109375" style="193" customWidth="1"/>
    <col min="10" max="10" width="11" style="193" customWidth="1"/>
    <col min="11" max="16384" width="8.85546875" style="193"/>
  </cols>
  <sheetData>
    <row r="1" spans="1:14" ht="14.25">
      <c r="A1" s="8" t="s">
        <v>363</v>
      </c>
      <c r="B1" s="8"/>
      <c r="C1" s="8"/>
      <c r="D1" s="9"/>
      <c r="E1" s="9"/>
      <c r="F1" s="9"/>
      <c r="G1" s="9"/>
      <c r="H1" s="9"/>
      <c r="I1" s="9"/>
    </row>
    <row r="2" spans="1:14" ht="14.25">
      <c r="A2" s="106"/>
      <c r="B2" s="9"/>
      <c r="C2" s="194"/>
      <c r="D2" s="9"/>
      <c r="E2" s="9"/>
      <c r="F2" s="9"/>
      <c r="G2" s="9"/>
      <c r="H2" s="9"/>
      <c r="I2" s="207" t="s">
        <v>104</v>
      </c>
    </row>
    <row r="3" spans="1:14" ht="14.25">
      <c r="A3" s="479" t="s">
        <v>105</v>
      </c>
      <c r="B3" s="477">
        <v>2019</v>
      </c>
      <c r="C3" s="478"/>
      <c r="D3" s="477">
        <v>2020</v>
      </c>
      <c r="E3" s="478"/>
      <c r="F3" s="477">
        <v>2021</v>
      </c>
      <c r="G3" s="478"/>
      <c r="H3" s="477">
        <v>2022</v>
      </c>
      <c r="I3" s="478"/>
      <c r="J3" s="477">
        <v>2023</v>
      </c>
      <c r="K3" s="478"/>
    </row>
    <row r="4" spans="1:14" ht="14.25">
      <c r="A4" s="480"/>
      <c r="B4" s="195" t="s">
        <v>106</v>
      </c>
      <c r="C4" s="196" t="s">
        <v>107</v>
      </c>
      <c r="D4" s="195" t="s">
        <v>106</v>
      </c>
      <c r="E4" s="196" t="s">
        <v>107</v>
      </c>
      <c r="F4" s="195" t="s">
        <v>106</v>
      </c>
      <c r="G4" s="196" t="s">
        <v>107</v>
      </c>
      <c r="H4" s="208" t="s">
        <v>106</v>
      </c>
      <c r="I4" s="196" t="s">
        <v>107</v>
      </c>
      <c r="J4" s="208" t="s">
        <v>106</v>
      </c>
      <c r="K4" s="196" t="s">
        <v>107</v>
      </c>
    </row>
    <row r="5" spans="1:14" ht="14.25">
      <c r="A5" s="197" t="s">
        <v>108</v>
      </c>
      <c r="B5" s="198">
        <v>31.89</v>
      </c>
      <c r="C5" s="199">
        <v>41.49</v>
      </c>
      <c r="D5" s="198">
        <v>43.6</v>
      </c>
      <c r="E5" s="200">
        <v>41.4</v>
      </c>
      <c r="F5" s="199">
        <v>37.4</v>
      </c>
      <c r="G5" s="199">
        <v>39.700000000000003</v>
      </c>
      <c r="H5" s="201">
        <v>47</v>
      </c>
      <c r="I5" s="142">
        <v>76.099999999999994</v>
      </c>
      <c r="J5" s="201">
        <v>79.400000000000006</v>
      </c>
      <c r="K5" s="142">
        <v>71.7</v>
      </c>
    </row>
    <row r="6" spans="1:14" ht="14.25">
      <c r="A6" s="122" t="s">
        <v>109</v>
      </c>
      <c r="B6" s="201">
        <v>77.010000000000005</v>
      </c>
      <c r="C6" s="142">
        <v>81.569999999999993</v>
      </c>
      <c r="D6" s="201">
        <v>96.2</v>
      </c>
      <c r="E6" s="202">
        <v>96.6</v>
      </c>
      <c r="F6" s="142">
        <v>101.6</v>
      </c>
      <c r="G6" s="142">
        <v>101.6</v>
      </c>
      <c r="H6" s="201">
        <v>101.5</v>
      </c>
      <c r="I6" s="142">
        <v>129.69999999999999</v>
      </c>
      <c r="J6" s="201">
        <v>164.8</v>
      </c>
      <c r="K6" s="142">
        <v>171.8</v>
      </c>
      <c r="M6" s="328"/>
      <c r="N6" s="328"/>
    </row>
    <row r="7" spans="1:14" ht="14.25">
      <c r="A7" s="122" t="s">
        <v>110</v>
      </c>
      <c r="B7" s="201">
        <v>92.54</v>
      </c>
      <c r="C7" s="142">
        <v>86.54</v>
      </c>
      <c r="D7" s="201">
        <v>93.1</v>
      </c>
      <c r="E7" s="202">
        <v>94.3</v>
      </c>
      <c r="F7" s="142">
        <v>101.8</v>
      </c>
      <c r="G7" s="142">
        <v>112.8</v>
      </c>
      <c r="H7" s="201">
        <v>119</v>
      </c>
      <c r="I7" s="142">
        <v>125.8</v>
      </c>
      <c r="J7" s="201">
        <v>127.7</v>
      </c>
      <c r="K7" s="142">
        <v>127.9</v>
      </c>
    </row>
    <row r="8" spans="1:14" ht="14.25">
      <c r="A8" s="122" t="s">
        <v>111</v>
      </c>
      <c r="B8" s="201">
        <v>64.37</v>
      </c>
      <c r="C8" s="142">
        <v>61.89</v>
      </c>
      <c r="D8" s="201">
        <v>68.599999999999994</v>
      </c>
      <c r="E8" s="202">
        <v>72.2</v>
      </c>
      <c r="F8" s="201">
        <v>71.5</v>
      </c>
      <c r="G8" s="142">
        <v>70.099999999999994</v>
      </c>
      <c r="H8" s="201">
        <v>76.2</v>
      </c>
      <c r="I8" s="142">
        <v>92.1</v>
      </c>
      <c r="J8" s="201">
        <v>102.7</v>
      </c>
      <c r="K8" s="142">
        <v>98.4</v>
      </c>
    </row>
    <row r="9" spans="1:14" ht="14.25">
      <c r="A9" s="122" t="s">
        <v>112</v>
      </c>
      <c r="B9" s="201">
        <v>43.35</v>
      </c>
      <c r="C9" s="142">
        <v>67.88</v>
      </c>
      <c r="D9" s="201">
        <v>48.4</v>
      </c>
      <c r="E9" s="202">
        <v>46.9</v>
      </c>
      <c r="F9" s="142">
        <v>42.6</v>
      </c>
      <c r="G9" s="142">
        <v>35.700000000000003</v>
      </c>
      <c r="H9" s="201">
        <v>49.1</v>
      </c>
      <c r="I9" s="142">
        <v>56.7</v>
      </c>
      <c r="J9" s="201">
        <v>80.2</v>
      </c>
      <c r="K9" s="142">
        <v>68.099999999999994</v>
      </c>
      <c r="M9" s="328"/>
      <c r="N9" s="328"/>
    </row>
    <row r="10" spans="1:14" ht="14.25">
      <c r="A10" s="122" t="s">
        <v>113</v>
      </c>
      <c r="B10" s="201">
        <v>20.73</v>
      </c>
      <c r="C10" s="142">
        <v>25.43</v>
      </c>
      <c r="D10" s="201">
        <v>25.6</v>
      </c>
      <c r="E10" s="202">
        <v>21.9</v>
      </c>
      <c r="F10" s="142">
        <v>20.3</v>
      </c>
      <c r="G10" s="142">
        <v>27.9</v>
      </c>
      <c r="H10" s="201">
        <v>28.7</v>
      </c>
      <c r="I10" s="142">
        <v>26.3</v>
      </c>
      <c r="J10" s="201">
        <v>43.1</v>
      </c>
      <c r="K10" s="142">
        <v>32.200000000000003</v>
      </c>
    </row>
    <row r="11" spans="1:14" ht="14.25">
      <c r="A11" s="122" t="s">
        <v>114</v>
      </c>
      <c r="B11" s="201">
        <v>77.2</v>
      </c>
      <c r="C11" s="142">
        <v>70.11</v>
      </c>
      <c r="D11" s="201">
        <v>93.8</v>
      </c>
      <c r="E11" s="202">
        <v>57.9</v>
      </c>
      <c r="F11" s="142">
        <v>63.3</v>
      </c>
      <c r="G11" s="142">
        <v>65.900000000000006</v>
      </c>
      <c r="H11" s="201">
        <v>60.7</v>
      </c>
      <c r="I11" s="142">
        <v>67.2</v>
      </c>
      <c r="J11" s="201">
        <v>74.099999999999994</v>
      </c>
      <c r="K11" s="142">
        <v>66.2</v>
      </c>
    </row>
    <row r="12" spans="1:14" ht="14.25">
      <c r="A12" s="132" t="s">
        <v>115</v>
      </c>
      <c r="B12" s="203">
        <v>45.08</v>
      </c>
      <c r="C12" s="204">
        <v>48.72</v>
      </c>
      <c r="D12" s="203">
        <v>47</v>
      </c>
      <c r="E12" s="205">
        <v>46.9</v>
      </c>
      <c r="F12" s="203">
        <v>39.9</v>
      </c>
      <c r="G12" s="204">
        <v>39.4</v>
      </c>
      <c r="H12" s="203">
        <v>43.7</v>
      </c>
      <c r="I12" s="204">
        <v>51.7</v>
      </c>
      <c r="J12" s="203">
        <v>53.7</v>
      </c>
      <c r="K12" s="204">
        <v>52.3</v>
      </c>
    </row>
    <row r="13" spans="1:14">
      <c r="A13" s="206"/>
    </row>
  </sheetData>
  <mergeCells count="6">
    <mergeCell ref="H3:I3"/>
    <mergeCell ref="J3:K3"/>
    <mergeCell ref="A3:A4"/>
    <mergeCell ref="B3:C3"/>
    <mergeCell ref="D3:E3"/>
    <mergeCell ref="F3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showGridLines="0" zoomScale="87" zoomScaleNormal="87" workbookViewId="0">
      <selection activeCell="Q25" sqref="Q25"/>
    </sheetView>
  </sheetViews>
  <sheetFormatPr defaultColWidth="9" defaultRowHeight="15"/>
  <cols>
    <col min="1" max="1" width="32.5703125" customWidth="1"/>
    <col min="2" max="2" width="16.140625" customWidth="1"/>
    <col min="3" max="3" width="9" hidden="1" customWidth="1"/>
    <col min="4" max="4" width="8.42578125" customWidth="1"/>
    <col min="5" max="8" width="9.140625" customWidth="1"/>
    <col min="10" max="10" width="15.28515625" bestFit="1" customWidth="1"/>
  </cols>
  <sheetData>
    <row r="1" spans="1:8" ht="15.75">
      <c r="A1" s="8" t="s">
        <v>364</v>
      </c>
      <c r="B1" s="8"/>
      <c r="C1" s="8"/>
      <c r="D1" s="8"/>
      <c r="E1" s="8"/>
      <c r="F1" s="9"/>
      <c r="G1" s="9"/>
      <c r="H1" s="9"/>
    </row>
    <row r="2" spans="1:8" ht="15.75">
      <c r="A2" s="8"/>
      <c r="B2" s="8"/>
      <c r="C2" s="8"/>
      <c r="D2" s="8"/>
      <c r="E2" s="8"/>
      <c r="F2" s="9"/>
      <c r="G2" s="9"/>
      <c r="H2" s="9"/>
    </row>
    <row r="3" spans="1:8" ht="15.75">
      <c r="A3" s="13" t="s">
        <v>94</v>
      </c>
      <c r="B3" s="66" t="s">
        <v>66</v>
      </c>
      <c r="C3" s="182">
        <v>2017</v>
      </c>
      <c r="D3" s="182">
        <v>2019</v>
      </c>
      <c r="E3" s="182">
        <v>2020</v>
      </c>
      <c r="F3" s="182">
        <v>2021</v>
      </c>
      <c r="G3" s="182">
        <v>2022</v>
      </c>
      <c r="H3" s="191" t="s">
        <v>14</v>
      </c>
    </row>
    <row r="4" spans="1:8" ht="16.5">
      <c r="A4" s="146" t="s">
        <v>116</v>
      </c>
      <c r="B4" s="305" t="s">
        <v>117</v>
      </c>
      <c r="C4" s="183">
        <v>239.2</v>
      </c>
      <c r="D4" s="183">
        <v>316.7</v>
      </c>
      <c r="E4" s="183">
        <v>261.3</v>
      </c>
      <c r="F4" s="183">
        <v>228.4</v>
      </c>
      <c r="G4" s="183">
        <v>149.5</v>
      </c>
      <c r="H4" s="183">
        <v>185.4</v>
      </c>
    </row>
    <row r="5" spans="1:8" ht="16.5">
      <c r="A5" s="25" t="s">
        <v>118</v>
      </c>
      <c r="B5" s="184" t="s">
        <v>117</v>
      </c>
      <c r="C5" s="183">
        <v>156.9</v>
      </c>
      <c r="D5" s="183">
        <v>348.8</v>
      </c>
      <c r="E5" s="183">
        <v>280.8</v>
      </c>
      <c r="F5" s="183">
        <v>241.9</v>
      </c>
      <c r="G5" s="183">
        <v>181.9</v>
      </c>
      <c r="H5" s="183">
        <v>292.10000000000002</v>
      </c>
    </row>
    <row r="6" spans="1:8" ht="15.75">
      <c r="A6" s="25" t="s">
        <v>119</v>
      </c>
      <c r="B6" s="184" t="s">
        <v>117</v>
      </c>
      <c r="C6" s="183">
        <v>33.700000000000003</v>
      </c>
      <c r="D6" s="183">
        <v>33.6</v>
      </c>
      <c r="E6" s="183">
        <v>24.4</v>
      </c>
      <c r="F6" s="183">
        <v>28.2</v>
      </c>
      <c r="G6" s="183">
        <v>41.9</v>
      </c>
      <c r="H6" s="183">
        <v>32.4</v>
      </c>
    </row>
    <row r="7" spans="1:8" ht="15.75">
      <c r="A7" s="25" t="s">
        <v>120</v>
      </c>
      <c r="B7" s="184" t="s">
        <v>117</v>
      </c>
      <c r="C7" s="183">
        <v>439.8</v>
      </c>
      <c r="D7" s="183">
        <v>458.8</v>
      </c>
      <c r="E7" s="183">
        <v>569.5</v>
      </c>
      <c r="F7" s="183">
        <v>537.79999999999995</v>
      </c>
      <c r="G7" s="183">
        <v>535</v>
      </c>
      <c r="H7" s="183">
        <v>570.29999999999995</v>
      </c>
    </row>
    <row r="8" spans="1:8" ht="16.5">
      <c r="A8" s="25" t="s">
        <v>121</v>
      </c>
      <c r="B8" s="184" t="s">
        <v>117</v>
      </c>
      <c r="C8" s="185">
        <v>11.9</v>
      </c>
      <c r="D8" s="183">
        <v>3</v>
      </c>
      <c r="E8" s="183">
        <v>3.4</v>
      </c>
      <c r="F8" s="183">
        <v>1.3</v>
      </c>
      <c r="G8" s="183">
        <v>3.8</v>
      </c>
      <c r="H8" s="183">
        <v>3.9</v>
      </c>
    </row>
    <row r="9" spans="1:8" ht="16.5">
      <c r="A9" s="25" t="s">
        <v>279</v>
      </c>
      <c r="B9" s="184" t="s">
        <v>122</v>
      </c>
      <c r="C9" s="183">
        <v>4.8</v>
      </c>
      <c r="D9" s="183">
        <v>4.5999999999999996</v>
      </c>
      <c r="E9" s="183">
        <v>6.8</v>
      </c>
      <c r="F9" s="183">
        <v>7.7</v>
      </c>
      <c r="G9" s="183">
        <v>8.8000000000000007</v>
      </c>
      <c r="H9" s="183">
        <v>5.6</v>
      </c>
    </row>
    <row r="10" spans="1:8" ht="15.75">
      <c r="A10" s="25" t="s">
        <v>123</v>
      </c>
      <c r="B10" s="184" t="s">
        <v>124</v>
      </c>
      <c r="C10" s="183">
        <v>3</v>
      </c>
      <c r="D10" s="183">
        <v>7.4</v>
      </c>
      <c r="E10" s="183">
        <v>5.7</v>
      </c>
      <c r="F10" s="183">
        <v>11.5</v>
      </c>
      <c r="G10" s="319">
        <v>22.2</v>
      </c>
      <c r="H10" s="183">
        <v>30.3</v>
      </c>
    </row>
    <row r="11" spans="1:8" ht="15.75">
      <c r="A11" s="25" t="s">
        <v>125</v>
      </c>
      <c r="B11" s="184" t="s">
        <v>117</v>
      </c>
      <c r="C11" s="183">
        <v>20.6</v>
      </c>
      <c r="D11" s="183">
        <v>22.3</v>
      </c>
      <c r="E11" s="183">
        <v>28.5</v>
      </c>
      <c r="F11" s="183">
        <v>28.9</v>
      </c>
      <c r="G11" s="183">
        <v>32.200000000000003</v>
      </c>
      <c r="H11" s="183">
        <v>25.6</v>
      </c>
    </row>
    <row r="12" spans="1:8" ht="16.5">
      <c r="A12" s="69" t="s">
        <v>126</v>
      </c>
      <c r="B12" s="306" t="s">
        <v>117</v>
      </c>
      <c r="C12" s="186">
        <v>83.6</v>
      </c>
      <c r="D12" s="187">
        <v>96.4</v>
      </c>
      <c r="E12" s="187">
        <v>108.5</v>
      </c>
      <c r="F12" s="183">
        <v>111.6</v>
      </c>
      <c r="G12" s="186">
        <v>123.9</v>
      </c>
      <c r="H12" s="186">
        <v>137.4</v>
      </c>
    </row>
    <row r="13" spans="1:8" ht="15.75">
      <c r="A13" s="11" t="s">
        <v>44</v>
      </c>
      <c r="B13" s="26"/>
      <c r="C13" s="11"/>
      <c r="D13" s="11"/>
      <c r="E13" s="188"/>
      <c r="F13" s="189"/>
      <c r="G13" s="189"/>
      <c r="H13" s="9"/>
    </row>
    <row r="14" spans="1:8" ht="16.5">
      <c r="A14" s="11" t="s">
        <v>127</v>
      </c>
      <c r="B14" s="26"/>
      <c r="C14" s="11"/>
      <c r="D14" s="11"/>
      <c r="E14" s="190"/>
      <c r="F14" s="190"/>
      <c r="G14" s="190"/>
      <c r="H14" s="9"/>
    </row>
    <row r="15" spans="1:8" ht="16.5">
      <c r="A15" s="11" t="s">
        <v>281</v>
      </c>
      <c r="B15" s="11"/>
      <c r="C15" s="11"/>
      <c r="D15" s="425"/>
      <c r="E15" s="425"/>
      <c r="F15" s="425"/>
      <c r="G15" s="425"/>
      <c r="H15" s="425"/>
    </row>
    <row r="16" spans="1:8" ht="16.5">
      <c r="A16" s="11" t="s">
        <v>280</v>
      </c>
      <c r="D16" s="5"/>
      <c r="E16" s="5"/>
      <c r="F16" s="5"/>
      <c r="G16" s="5"/>
      <c r="H16" s="5"/>
    </row>
    <row r="18" spans="4:8">
      <c r="D18" s="336"/>
      <c r="E18" s="290"/>
      <c r="F18" s="290"/>
      <c r="G18" s="290"/>
      <c r="H18" s="29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showGridLines="0" workbookViewId="0">
      <selection activeCell="B4" sqref="B4"/>
    </sheetView>
  </sheetViews>
  <sheetFormatPr defaultColWidth="9" defaultRowHeight="15"/>
  <cols>
    <col min="1" max="1" width="15" customWidth="1"/>
    <col min="2" max="2" width="13.5703125" customWidth="1"/>
    <col min="4" max="4" width="10.42578125" customWidth="1"/>
  </cols>
  <sheetData>
    <row r="1" spans="1:4" ht="15.75">
      <c r="A1" s="2" t="s">
        <v>365</v>
      </c>
      <c r="B1" s="2"/>
      <c r="C1" s="2"/>
      <c r="D1" s="2"/>
    </row>
    <row r="2" spans="1:4" ht="15.75">
      <c r="A2" s="9"/>
      <c r="B2" s="9"/>
      <c r="C2" s="9"/>
      <c r="D2" s="171" t="s">
        <v>128</v>
      </c>
    </row>
    <row r="3" spans="1:4" ht="15.75">
      <c r="A3" s="7" t="s">
        <v>83</v>
      </c>
      <c r="B3" s="172" t="s">
        <v>168</v>
      </c>
      <c r="C3" s="172" t="s">
        <v>129</v>
      </c>
      <c r="D3" s="173" t="s">
        <v>86</v>
      </c>
    </row>
    <row r="4" spans="1:4" ht="15.75">
      <c r="A4" s="4" t="s">
        <v>130</v>
      </c>
      <c r="B4" s="174">
        <v>366.2</v>
      </c>
      <c r="C4" s="174">
        <v>1998.9</v>
      </c>
      <c r="D4" s="175">
        <v>2365.1</v>
      </c>
    </row>
    <row r="5" spans="1:4" ht="15.75">
      <c r="A5" s="4" t="s">
        <v>131</v>
      </c>
      <c r="B5" s="176">
        <v>405</v>
      </c>
      <c r="C5" s="174">
        <v>1882.5</v>
      </c>
      <c r="D5" s="175">
        <v>2287.5</v>
      </c>
    </row>
    <row r="6" spans="1:4" ht="15.75">
      <c r="A6" s="4" t="s">
        <v>132</v>
      </c>
      <c r="B6" s="176">
        <v>349.1</v>
      </c>
      <c r="C6" s="174">
        <v>1889.9</v>
      </c>
      <c r="D6" s="175">
        <v>2239</v>
      </c>
    </row>
    <row r="7" spans="1:4" ht="15.75">
      <c r="A7" s="4" t="s">
        <v>265</v>
      </c>
      <c r="B7" s="176">
        <v>368.7</v>
      </c>
      <c r="C7" s="174">
        <v>1676.6</v>
      </c>
      <c r="D7" s="175">
        <v>1947.3</v>
      </c>
    </row>
    <row r="8" spans="1:4" ht="15.75">
      <c r="A8" s="6" t="s">
        <v>266</v>
      </c>
      <c r="B8" s="177">
        <v>309.5</v>
      </c>
      <c r="C8" s="178">
        <v>2037</v>
      </c>
      <c r="D8" s="179">
        <v>2346.5</v>
      </c>
    </row>
    <row r="9" spans="1:4" ht="15.75">
      <c r="A9" s="9" t="s">
        <v>133</v>
      </c>
      <c r="B9" s="180"/>
      <c r="C9" s="9"/>
      <c r="D9" s="9"/>
    </row>
    <row r="10" spans="1:4" ht="16.5">
      <c r="A10" s="181"/>
      <c r="B10" s="181"/>
      <c r="C10" s="9"/>
      <c r="D10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zoomScale="93" zoomScaleNormal="93" workbookViewId="0">
      <selection activeCell="C7" sqref="C7"/>
    </sheetView>
  </sheetViews>
  <sheetFormatPr defaultColWidth="9" defaultRowHeight="15"/>
  <cols>
    <col min="2" max="2" width="24.7109375" customWidth="1"/>
  </cols>
  <sheetData>
    <row r="1" spans="1:7" ht="15.75">
      <c r="A1" s="158" t="s">
        <v>366</v>
      </c>
      <c r="B1" s="9"/>
      <c r="C1" s="9"/>
      <c r="D1" s="9"/>
      <c r="E1" s="9"/>
      <c r="F1" s="9"/>
      <c r="G1" s="9"/>
    </row>
    <row r="2" spans="1:7" ht="15.75">
      <c r="A2" s="158"/>
      <c r="B2" s="9"/>
      <c r="C2" s="9"/>
      <c r="D2" s="9"/>
      <c r="E2" s="9"/>
      <c r="F2" s="9"/>
      <c r="G2" s="9"/>
    </row>
    <row r="3" spans="1:7">
      <c r="A3" s="108"/>
      <c r="B3" s="159"/>
      <c r="C3" s="160" t="s">
        <v>134</v>
      </c>
      <c r="D3" s="160" t="s">
        <v>135</v>
      </c>
      <c r="E3" s="160" t="s">
        <v>136</v>
      </c>
      <c r="F3" s="160" t="s">
        <v>188</v>
      </c>
      <c r="G3" s="160" t="s">
        <v>271</v>
      </c>
    </row>
    <row r="4" spans="1:7">
      <c r="A4" s="481" t="s">
        <v>137</v>
      </c>
      <c r="B4" s="482"/>
      <c r="C4" s="162"/>
      <c r="D4" s="162"/>
      <c r="E4" s="162"/>
      <c r="F4" s="162"/>
      <c r="G4" s="162"/>
    </row>
    <row r="5" spans="1:7">
      <c r="A5" s="96"/>
      <c r="B5" s="161" t="s">
        <v>138</v>
      </c>
      <c r="C5" s="163">
        <v>94.1</v>
      </c>
      <c r="D5" s="164">
        <v>94.8</v>
      </c>
      <c r="E5" s="164">
        <v>83.2</v>
      </c>
      <c r="F5" s="164">
        <v>84.1</v>
      </c>
      <c r="G5" s="164">
        <v>83.8</v>
      </c>
    </row>
    <row r="6" spans="1:7">
      <c r="A6" s="96"/>
      <c r="B6" s="161" t="s">
        <v>139</v>
      </c>
      <c r="C6" s="163">
        <v>25.5</v>
      </c>
      <c r="D6" s="164">
        <v>24.9</v>
      </c>
      <c r="E6" s="393">
        <v>25</v>
      </c>
      <c r="F6" s="164">
        <v>25.3</v>
      </c>
      <c r="G6" s="164">
        <v>28.1</v>
      </c>
    </row>
    <row r="7" spans="1:7">
      <c r="A7" s="106"/>
      <c r="B7" s="165" t="s">
        <v>140</v>
      </c>
      <c r="C7" s="166">
        <v>119.6</v>
      </c>
      <c r="D7" s="167">
        <v>119.7</v>
      </c>
      <c r="E7" s="167">
        <v>108.2</v>
      </c>
      <c r="F7" s="167">
        <v>109.4</v>
      </c>
      <c r="G7" s="167">
        <v>111.9</v>
      </c>
    </row>
    <row r="8" spans="1:7">
      <c r="A8" s="481" t="s">
        <v>141</v>
      </c>
      <c r="B8" s="482"/>
      <c r="C8" s="168"/>
      <c r="D8" s="168"/>
      <c r="E8" s="168"/>
      <c r="F8" s="168"/>
      <c r="G8" s="168"/>
    </row>
    <row r="9" spans="1:7">
      <c r="A9" s="96"/>
      <c r="B9" s="161" t="s">
        <v>142</v>
      </c>
      <c r="C9" s="169">
        <v>30.9</v>
      </c>
      <c r="D9" s="169">
        <v>25.9</v>
      </c>
      <c r="E9" s="169">
        <v>22.8</v>
      </c>
      <c r="F9" s="169">
        <v>36.299999999999997</v>
      </c>
      <c r="G9" s="169">
        <v>34.5</v>
      </c>
    </row>
    <row r="10" spans="1:7">
      <c r="A10" s="96"/>
      <c r="B10" s="161" t="s">
        <v>143</v>
      </c>
      <c r="C10" s="163">
        <v>14.1</v>
      </c>
      <c r="D10" s="164">
        <v>11</v>
      </c>
      <c r="E10" s="164">
        <v>11.7</v>
      </c>
      <c r="F10" s="164">
        <v>15.6</v>
      </c>
      <c r="G10" s="164">
        <v>14.2</v>
      </c>
    </row>
    <row r="11" spans="1:7">
      <c r="A11" s="106"/>
      <c r="B11" s="165" t="s">
        <v>144</v>
      </c>
      <c r="C11" s="337">
        <v>45</v>
      </c>
      <c r="D11" s="167">
        <v>36.9</v>
      </c>
      <c r="E11" s="167">
        <v>34.5</v>
      </c>
      <c r="F11" s="167">
        <v>51.9</v>
      </c>
      <c r="G11" s="167">
        <v>48.7</v>
      </c>
    </row>
    <row r="12" spans="1:7">
      <c r="A12" s="481" t="s">
        <v>145</v>
      </c>
      <c r="B12" s="482"/>
      <c r="C12" s="168"/>
      <c r="D12" s="168"/>
      <c r="E12" s="168"/>
      <c r="F12" s="168"/>
      <c r="G12" s="168"/>
    </row>
    <row r="13" spans="1:7">
      <c r="A13" s="96"/>
      <c r="B13" s="161" t="s">
        <v>146</v>
      </c>
      <c r="C13" s="394">
        <v>348</v>
      </c>
      <c r="D13" s="393">
        <v>289.10000000000002</v>
      </c>
      <c r="E13" s="317">
        <v>242.3</v>
      </c>
      <c r="F13" s="317">
        <v>382.9</v>
      </c>
      <c r="G13" s="317">
        <v>414.7</v>
      </c>
    </row>
    <row r="14" spans="1:7">
      <c r="A14" s="106"/>
      <c r="B14" s="170" t="s">
        <v>147</v>
      </c>
      <c r="C14" s="395">
        <v>544.4</v>
      </c>
      <c r="D14" s="396">
        <v>421.5</v>
      </c>
      <c r="E14" s="318">
        <v>458.8</v>
      </c>
      <c r="F14" s="318">
        <v>626.5</v>
      </c>
      <c r="G14" s="318">
        <v>568</v>
      </c>
    </row>
    <row r="15" spans="1:7" ht="15.75">
      <c r="A15" s="16" t="s">
        <v>148</v>
      </c>
      <c r="B15" s="16"/>
      <c r="C15" s="9"/>
      <c r="D15" s="9"/>
      <c r="E15" s="9"/>
      <c r="F15" s="9"/>
      <c r="G15" s="9"/>
    </row>
    <row r="16" spans="1:7" ht="15.75">
      <c r="A16" s="11" t="s">
        <v>44</v>
      </c>
      <c r="B16" s="11"/>
      <c r="C16" s="9"/>
      <c r="D16" s="9"/>
      <c r="E16" s="9"/>
      <c r="F16" s="324"/>
      <c r="G16" s="324"/>
    </row>
    <row r="17" spans="1:7" ht="15.75">
      <c r="A17" s="67" t="s">
        <v>149</v>
      </c>
      <c r="B17" s="11"/>
      <c r="C17" s="9"/>
      <c r="D17" s="9"/>
      <c r="E17" s="9"/>
      <c r="F17" s="324"/>
      <c r="G17" s="324"/>
    </row>
    <row r="18" spans="1:7" ht="15.75">
      <c r="A18" s="11" t="s">
        <v>150</v>
      </c>
      <c r="B18" s="11"/>
      <c r="C18" s="9"/>
      <c r="D18" s="9"/>
      <c r="E18" s="9"/>
      <c r="F18" s="9"/>
      <c r="G18" s="9"/>
    </row>
    <row r="19" spans="1:7" ht="15.75">
      <c r="A19" s="11" t="s">
        <v>151</v>
      </c>
      <c r="B19" s="11"/>
      <c r="C19" s="9"/>
      <c r="D19" s="9"/>
      <c r="E19" s="9"/>
      <c r="F19" s="9"/>
      <c r="G19" s="9"/>
    </row>
  </sheetData>
  <mergeCells count="3">
    <mergeCell ref="A4:B4"/>
    <mergeCell ref="A8:B8"/>
    <mergeCell ref="A12:B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showGridLines="0" zoomScale="95" zoomScaleNormal="95" workbookViewId="0">
      <selection activeCell="C15" sqref="C15"/>
    </sheetView>
  </sheetViews>
  <sheetFormatPr defaultColWidth="8.85546875" defaultRowHeight="12"/>
  <cols>
    <col min="1" max="1" width="26.85546875" style="145" customWidth="1"/>
    <col min="2" max="6" width="12.7109375" style="145" customWidth="1"/>
    <col min="7" max="16384" width="8.85546875" style="145"/>
  </cols>
  <sheetData>
    <row r="1" spans="1:8" ht="14.25">
      <c r="A1" s="2" t="s">
        <v>367</v>
      </c>
      <c r="B1" s="9"/>
      <c r="C1" s="9"/>
      <c r="D1" s="9"/>
      <c r="E1" s="9"/>
      <c r="F1" s="9"/>
    </row>
    <row r="2" spans="1:8" ht="14.25">
      <c r="A2" s="2"/>
      <c r="B2" s="9"/>
      <c r="C2" s="9"/>
      <c r="D2" s="9"/>
      <c r="E2" s="9"/>
      <c r="F2" s="9"/>
    </row>
    <row r="3" spans="1:8" ht="14.25">
      <c r="A3" s="65"/>
      <c r="B3" s="136">
        <v>2019</v>
      </c>
      <c r="C3" s="136">
        <v>2020</v>
      </c>
      <c r="D3" s="136">
        <v>2021</v>
      </c>
      <c r="E3" s="136">
        <v>2022</v>
      </c>
      <c r="F3" s="136" t="s">
        <v>14</v>
      </c>
    </row>
    <row r="4" spans="1:8" ht="16.5">
      <c r="A4" s="146" t="s">
        <v>282</v>
      </c>
      <c r="B4" s="147"/>
      <c r="C4" s="147"/>
      <c r="D4" s="147"/>
      <c r="E4" s="147"/>
      <c r="F4" s="147"/>
    </row>
    <row r="5" spans="1:8" ht="14.25">
      <c r="A5" s="25" t="s">
        <v>152</v>
      </c>
      <c r="B5" s="148">
        <v>102.9</v>
      </c>
      <c r="C5" s="148">
        <v>106</v>
      </c>
      <c r="D5" s="148">
        <v>109.3</v>
      </c>
      <c r="E5" s="149">
        <v>112.7</v>
      </c>
      <c r="F5" s="149">
        <v>112.7</v>
      </c>
      <c r="H5" s="150"/>
    </row>
    <row r="6" spans="1:8" ht="14.25">
      <c r="A6" s="25" t="s">
        <v>153</v>
      </c>
      <c r="B6" s="151">
        <v>103.2</v>
      </c>
      <c r="C6" s="151">
        <v>106.4</v>
      </c>
      <c r="D6" s="151">
        <v>109.7</v>
      </c>
      <c r="E6" s="152">
        <v>113.1</v>
      </c>
      <c r="F6" s="152">
        <v>115.1</v>
      </c>
      <c r="H6" s="150"/>
    </row>
    <row r="7" spans="1:8" ht="14.25">
      <c r="A7" s="68" t="s">
        <v>154</v>
      </c>
      <c r="B7" s="154">
        <v>206.1</v>
      </c>
      <c r="C7" s="154">
        <v>212.4</v>
      </c>
      <c r="D7" s="154">
        <v>219</v>
      </c>
      <c r="E7" s="154">
        <v>225.8</v>
      </c>
      <c r="F7" s="154">
        <v>227.8</v>
      </c>
      <c r="H7" s="150"/>
    </row>
    <row r="8" spans="1:8" ht="14.25">
      <c r="A8" s="25" t="s">
        <v>278</v>
      </c>
      <c r="B8" s="155"/>
      <c r="C8" s="155"/>
      <c r="D8" s="155"/>
      <c r="E8" s="155"/>
      <c r="F8" s="155"/>
      <c r="H8" s="150"/>
    </row>
    <row r="9" spans="1:8" ht="14.25">
      <c r="A9" s="25" t="s">
        <v>155</v>
      </c>
      <c r="B9" s="332">
        <v>1166.5999999999999</v>
      </c>
      <c r="C9" s="332">
        <v>1458.2</v>
      </c>
      <c r="D9" s="332">
        <v>1287.3</v>
      </c>
      <c r="E9" s="332">
        <v>1233.0999999999999</v>
      </c>
      <c r="F9" s="331">
        <v>1258.8</v>
      </c>
      <c r="H9" s="150"/>
    </row>
    <row r="10" spans="1:8" ht="14.25">
      <c r="A10" s="25" t="s">
        <v>156</v>
      </c>
      <c r="B10" s="333">
        <v>907.2</v>
      </c>
      <c r="C10" s="333">
        <v>1116</v>
      </c>
      <c r="D10" s="333">
        <v>1143.5999999999999</v>
      </c>
      <c r="E10" s="333">
        <v>1185.0999999999999</v>
      </c>
      <c r="F10" s="331">
        <v>1318.9</v>
      </c>
      <c r="H10" s="150"/>
    </row>
    <row r="11" spans="1:8" ht="14.25">
      <c r="A11" s="68" t="s">
        <v>157</v>
      </c>
      <c r="B11" s="154">
        <v>2073.8000000000002</v>
      </c>
      <c r="C11" s="154">
        <v>2574.1</v>
      </c>
      <c r="D11" s="154">
        <v>2430.9</v>
      </c>
      <c r="E11" s="154">
        <v>2418.1999999999998</v>
      </c>
      <c r="F11" s="154">
        <v>2577.8000000000002</v>
      </c>
      <c r="H11" s="150"/>
    </row>
    <row r="12" spans="1:8" ht="14.25">
      <c r="A12" s="25" t="s">
        <v>277</v>
      </c>
      <c r="B12" s="155"/>
      <c r="C12" s="155"/>
      <c r="D12" s="155"/>
      <c r="E12" s="155"/>
      <c r="F12" s="155"/>
      <c r="H12" s="150"/>
    </row>
    <row r="13" spans="1:8" ht="14.25">
      <c r="A13" s="25" t="s">
        <v>155</v>
      </c>
      <c r="B13" s="148">
        <v>258.10000000000002</v>
      </c>
      <c r="C13" s="148">
        <v>322.60000000000002</v>
      </c>
      <c r="D13" s="148">
        <v>284.8</v>
      </c>
      <c r="E13" s="148">
        <v>272.8</v>
      </c>
      <c r="F13" s="148">
        <v>278.5</v>
      </c>
      <c r="H13" s="150"/>
    </row>
    <row r="14" spans="1:8" ht="14.25">
      <c r="A14" s="25" t="s">
        <v>156</v>
      </c>
      <c r="B14" s="151">
        <v>200.7</v>
      </c>
      <c r="C14" s="151">
        <v>246.9</v>
      </c>
      <c r="D14" s="151">
        <v>253</v>
      </c>
      <c r="E14" s="151">
        <v>262.2</v>
      </c>
      <c r="F14" s="151">
        <v>291.8</v>
      </c>
      <c r="H14" s="150"/>
    </row>
    <row r="15" spans="1:8" ht="14.25">
      <c r="A15" s="68" t="s">
        <v>157</v>
      </c>
      <c r="B15" s="154">
        <v>458.8</v>
      </c>
      <c r="C15" s="153">
        <v>569.5</v>
      </c>
      <c r="D15" s="153">
        <v>537.79999999999995</v>
      </c>
      <c r="E15" s="154">
        <v>535</v>
      </c>
      <c r="F15" s="154">
        <v>570.29999999999995</v>
      </c>
      <c r="H15" s="150"/>
    </row>
    <row r="16" spans="1:8" ht="16.5">
      <c r="A16" s="25" t="s">
        <v>285</v>
      </c>
      <c r="B16" s="155"/>
      <c r="C16" s="155"/>
      <c r="D16" s="155"/>
      <c r="E16" s="155"/>
      <c r="F16" s="155"/>
    </row>
    <row r="17" spans="1:6" ht="14.25">
      <c r="A17" s="25" t="s">
        <v>158</v>
      </c>
      <c r="B17" s="148">
        <v>1866.2</v>
      </c>
      <c r="C17" s="148">
        <v>3333.3</v>
      </c>
      <c r="D17" s="148">
        <v>2854.9</v>
      </c>
      <c r="E17" s="148">
        <v>2734.8</v>
      </c>
      <c r="F17" s="148">
        <v>2707.9</v>
      </c>
    </row>
    <row r="18" spans="1:6" ht="14.25">
      <c r="A18" s="69" t="s">
        <v>159</v>
      </c>
      <c r="B18" s="151">
        <v>2502.5</v>
      </c>
      <c r="C18" s="151">
        <v>2543.3000000000002</v>
      </c>
      <c r="D18" s="151">
        <v>2527.5</v>
      </c>
      <c r="E18" s="151">
        <v>2619.6</v>
      </c>
      <c r="F18" s="151">
        <v>2827.6</v>
      </c>
    </row>
    <row r="19" spans="1:6" ht="14.25">
      <c r="A19" s="156" t="s">
        <v>160</v>
      </c>
      <c r="B19" s="11"/>
      <c r="C19" s="11"/>
      <c r="D19" s="11"/>
      <c r="E19" s="11"/>
      <c r="F19" s="11"/>
    </row>
    <row r="20" spans="1:6" ht="14.25">
      <c r="A20" s="11" t="s">
        <v>10</v>
      </c>
      <c r="B20" s="11"/>
      <c r="C20" s="11"/>
      <c r="D20" s="11"/>
      <c r="E20" s="11"/>
      <c r="F20" s="334"/>
    </row>
    <row r="21" spans="1:6" ht="16.5">
      <c r="A21" s="483" t="s">
        <v>284</v>
      </c>
      <c r="B21" s="484"/>
      <c r="C21" s="484"/>
      <c r="D21" s="484"/>
      <c r="E21" s="11"/>
      <c r="F21" s="334"/>
    </row>
    <row r="22" spans="1:6" ht="16.5">
      <c r="A22" s="483" t="s">
        <v>283</v>
      </c>
      <c r="B22" s="484"/>
      <c r="C22" s="484"/>
      <c r="D22" s="484"/>
      <c r="E22" s="11"/>
      <c r="F22" s="11"/>
    </row>
    <row r="24" spans="1:6">
      <c r="D24" s="157"/>
    </row>
    <row r="25" spans="1:6">
      <c r="D25" s="157"/>
    </row>
  </sheetData>
  <mergeCells count="2">
    <mergeCell ref="A22:D22"/>
    <mergeCell ref="A21:D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showGridLines="0" zoomScale="115" workbookViewId="0">
      <selection activeCell="B6" sqref="B6"/>
    </sheetView>
  </sheetViews>
  <sheetFormatPr defaultColWidth="9" defaultRowHeight="15"/>
  <cols>
    <col min="1" max="1" width="74" customWidth="1"/>
    <col min="2" max="6" width="12.7109375" customWidth="1"/>
  </cols>
  <sheetData>
    <row r="1" spans="1:7" ht="15.75">
      <c r="A1" s="2" t="s">
        <v>368</v>
      </c>
      <c r="B1" s="9"/>
      <c r="C1" s="9"/>
      <c r="D1" s="9"/>
      <c r="E1" s="9"/>
      <c r="F1" s="9"/>
    </row>
    <row r="2" spans="1:7" ht="15.75">
      <c r="A2" s="2"/>
      <c r="B2" s="9"/>
      <c r="C2" s="9"/>
      <c r="D2" s="9"/>
      <c r="E2" s="9"/>
      <c r="F2" s="9"/>
    </row>
    <row r="3" spans="1:7" ht="15.75">
      <c r="A3" s="65"/>
      <c r="B3" s="136">
        <v>2019</v>
      </c>
      <c r="C3" s="136">
        <v>2020</v>
      </c>
      <c r="D3" s="136">
        <v>2021</v>
      </c>
      <c r="E3" s="136">
        <v>2022</v>
      </c>
      <c r="F3" s="136" t="s">
        <v>14</v>
      </c>
    </row>
    <row r="4" spans="1:7" ht="16.5">
      <c r="A4" s="137" t="s">
        <v>287</v>
      </c>
      <c r="B4" s="138">
        <v>197.4</v>
      </c>
      <c r="C4" s="138">
        <v>200.5</v>
      </c>
      <c r="D4" s="138">
        <v>223</v>
      </c>
      <c r="E4" s="138">
        <v>242.5</v>
      </c>
      <c r="F4" s="138">
        <v>259</v>
      </c>
    </row>
    <row r="5" spans="1:7" ht="16.5">
      <c r="A5" s="20" t="s">
        <v>286</v>
      </c>
      <c r="B5" s="139">
        <v>71.5</v>
      </c>
      <c r="C5" s="139">
        <v>89.7</v>
      </c>
      <c r="D5" s="139">
        <v>93.3</v>
      </c>
      <c r="E5" s="139">
        <v>118</v>
      </c>
      <c r="F5" s="139">
        <v>80.7</v>
      </c>
    </row>
    <row r="6" spans="1:7" ht="15.75">
      <c r="A6" s="20" t="s">
        <v>161</v>
      </c>
      <c r="B6" s="139">
        <v>4605.1000000000004</v>
      </c>
      <c r="C6" s="139">
        <v>6810.9</v>
      </c>
      <c r="D6" s="139">
        <v>7659.1</v>
      </c>
      <c r="E6" s="139">
        <v>8799.7999999999993</v>
      </c>
      <c r="F6" s="139">
        <v>5556.1</v>
      </c>
    </row>
    <row r="7" spans="1:7" ht="15.75">
      <c r="A7" s="20" t="s">
        <v>162</v>
      </c>
      <c r="B7" s="139">
        <v>938.8</v>
      </c>
      <c r="C7" s="139">
        <v>1264.2</v>
      </c>
      <c r="D7" s="139">
        <v>1133.3</v>
      </c>
      <c r="E7" s="139">
        <v>1380</v>
      </c>
      <c r="F7" s="139">
        <v>1123.4000000000001</v>
      </c>
    </row>
    <row r="8" spans="1:7" ht="16.5">
      <c r="A8" s="140" t="s">
        <v>163</v>
      </c>
      <c r="B8" s="141">
        <v>51.3</v>
      </c>
      <c r="C8" s="141">
        <v>61.9</v>
      </c>
      <c r="D8" s="141">
        <v>70</v>
      </c>
      <c r="E8" s="141">
        <v>62.9</v>
      </c>
      <c r="F8" s="141">
        <v>55</v>
      </c>
    </row>
    <row r="9" spans="1:7" ht="15.75">
      <c r="A9" s="16" t="s">
        <v>164</v>
      </c>
      <c r="B9" s="142"/>
      <c r="C9" s="142"/>
      <c r="D9" s="142"/>
      <c r="E9" s="142"/>
      <c r="F9" s="142"/>
      <c r="G9" s="142"/>
    </row>
    <row r="10" spans="1:7" ht="15.75">
      <c r="A10" s="11" t="s">
        <v>10</v>
      </c>
    </row>
    <row r="11" spans="1:7" ht="16.5">
      <c r="A11" s="143" t="s">
        <v>165</v>
      </c>
      <c r="B11" s="144"/>
      <c r="C11" s="144"/>
      <c r="D11" s="144"/>
      <c r="E11" s="9"/>
      <c r="F11" s="9"/>
    </row>
    <row r="12" spans="1:7" ht="16.5">
      <c r="A12" s="127" t="s">
        <v>166</v>
      </c>
      <c r="B12" s="9"/>
      <c r="C12" s="9"/>
      <c r="D12" s="9"/>
      <c r="E12" s="9"/>
      <c r="F12" s="9"/>
    </row>
    <row r="13" spans="1:7" ht="16.5">
      <c r="A13" s="127" t="s">
        <v>288</v>
      </c>
    </row>
    <row r="14" spans="1:7">
      <c r="B14" s="215"/>
      <c r="C14" s="215"/>
      <c r="D14" s="215"/>
      <c r="E14" s="215"/>
      <c r="F14" s="215"/>
    </row>
    <row r="15" spans="1:7">
      <c r="B15" s="338"/>
      <c r="C15" s="338"/>
      <c r="D15" s="338"/>
      <c r="E15" s="338"/>
      <c r="F15" s="338"/>
    </row>
    <row r="16" spans="1:7">
      <c r="B16" s="214"/>
      <c r="C16" s="214"/>
      <c r="D16" s="214"/>
      <c r="E16" s="214"/>
      <c r="F16" s="21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workbookViewId="0">
      <selection activeCell="B5" sqref="B5:D9"/>
    </sheetView>
  </sheetViews>
  <sheetFormatPr defaultColWidth="8.7109375" defaultRowHeight="14.25"/>
  <cols>
    <col min="1" max="1" width="19.140625" style="9" customWidth="1"/>
    <col min="2" max="2" width="15.140625" style="9" customWidth="1"/>
    <col min="3" max="3" width="13.42578125" style="9" customWidth="1"/>
    <col min="4" max="4" width="12.7109375" style="9" customWidth="1"/>
    <col min="5" max="16384" width="8.7109375" style="9"/>
  </cols>
  <sheetData>
    <row r="1" spans="1:4">
      <c r="A1" s="2" t="s">
        <v>369</v>
      </c>
    </row>
    <row r="2" spans="1:4">
      <c r="A2" s="2"/>
    </row>
    <row r="3" spans="1:4">
      <c r="A3" s="11"/>
      <c r="B3" s="11"/>
      <c r="C3" s="11"/>
      <c r="D3" s="27" t="s">
        <v>167</v>
      </c>
    </row>
    <row r="4" spans="1:4">
      <c r="A4" s="13" t="s">
        <v>83</v>
      </c>
      <c r="B4" s="66" t="s">
        <v>168</v>
      </c>
      <c r="C4" s="66" t="s">
        <v>169</v>
      </c>
      <c r="D4" s="119" t="s">
        <v>170</v>
      </c>
    </row>
    <row r="5" spans="1:4">
      <c r="A5" s="122" t="s">
        <v>171</v>
      </c>
      <c r="B5" s="124">
        <v>440.9</v>
      </c>
      <c r="C5" s="123">
        <v>458.6</v>
      </c>
      <c r="D5" s="130">
        <v>0.8</v>
      </c>
    </row>
    <row r="6" spans="1:4">
      <c r="A6" s="122" t="s">
        <v>172</v>
      </c>
      <c r="B6" s="124">
        <v>603.79999999999995</v>
      </c>
      <c r="C6" s="123">
        <v>442.4</v>
      </c>
      <c r="D6" s="130">
        <v>0.4</v>
      </c>
    </row>
    <row r="7" spans="1:4">
      <c r="A7" s="122" t="s">
        <v>173</v>
      </c>
      <c r="B7" s="130">
        <v>700.2</v>
      </c>
      <c r="C7" s="123">
        <v>426.3</v>
      </c>
      <c r="D7" s="130">
        <v>0.1</v>
      </c>
    </row>
    <row r="8" spans="1:4">
      <c r="A8" s="122" t="s">
        <v>272</v>
      </c>
      <c r="B8" s="130">
        <v>796.6</v>
      </c>
      <c r="C8" s="123">
        <v>320.7</v>
      </c>
      <c r="D8" s="130">
        <v>0.4</v>
      </c>
    </row>
    <row r="9" spans="1:4">
      <c r="A9" s="132" t="s">
        <v>273</v>
      </c>
      <c r="B9" s="133">
        <v>472.8</v>
      </c>
      <c r="C9" s="134">
        <v>608.20000000000005</v>
      </c>
      <c r="D9" s="135">
        <v>0.5</v>
      </c>
    </row>
    <row r="10" spans="1:4">
      <c r="A10" s="11" t="s">
        <v>164</v>
      </c>
      <c r="B10" s="11"/>
      <c r="C10" s="5"/>
      <c r="D10" s="5"/>
    </row>
    <row r="11" spans="1:4">
      <c r="A11" s="484" t="s">
        <v>174</v>
      </c>
      <c r="B11" s="484"/>
      <c r="C11" s="11"/>
      <c r="D11" s="11"/>
    </row>
  </sheetData>
  <mergeCells count="1">
    <mergeCell ref="A11:B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showGridLines="0" zoomScale="93" zoomScaleNormal="93" workbookViewId="0"/>
  </sheetViews>
  <sheetFormatPr defaultColWidth="9" defaultRowHeight="15"/>
  <cols>
    <col min="2" max="2" width="11" customWidth="1"/>
    <col min="3" max="3" width="11.7109375" customWidth="1"/>
    <col min="5" max="5" width="11.42578125" customWidth="1"/>
    <col min="7" max="7" width="15.140625" bestFit="1" customWidth="1"/>
    <col min="8" max="8" width="12" bestFit="1" customWidth="1"/>
    <col min="9" max="9" width="10.7109375" customWidth="1"/>
  </cols>
  <sheetData>
    <row r="1" spans="1:12" s="117" customFormat="1" ht="16.5">
      <c r="A1" s="8" t="s">
        <v>370</v>
      </c>
      <c r="B1" s="118"/>
      <c r="C1" s="118"/>
      <c r="D1" s="118"/>
      <c r="E1" s="118"/>
      <c r="F1" s="118"/>
      <c r="G1" s="118"/>
      <c r="H1" s="118"/>
      <c r="I1" s="118"/>
      <c r="J1" s="118"/>
    </row>
    <row r="2" spans="1:12" ht="15.75">
      <c r="A2" s="2"/>
      <c r="B2" s="2"/>
      <c r="C2" s="2"/>
      <c r="D2" s="2"/>
      <c r="E2" s="2"/>
      <c r="F2" s="2"/>
      <c r="G2" s="9"/>
      <c r="H2" s="9"/>
      <c r="I2" s="9"/>
      <c r="J2" s="9"/>
    </row>
    <row r="3" spans="1:12" ht="15.75">
      <c r="A3" s="486" t="s">
        <v>83</v>
      </c>
      <c r="B3" s="477" t="s">
        <v>175</v>
      </c>
      <c r="C3" s="485"/>
      <c r="D3" s="477" t="s">
        <v>176</v>
      </c>
      <c r="E3" s="485"/>
      <c r="F3" s="477" t="s">
        <v>177</v>
      </c>
      <c r="G3" s="485"/>
      <c r="H3" s="477" t="s">
        <v>86</v>
      </c>
      <c r="I3" s="478"/>
      <c r="J3" s="9"/>
    </row>
    <row r="4" spans="1:12" ht="15.75">
      <c r="A4" s="487"/>
      <c r="B4" s="120" t="s">
        <v>178</v>
      </c>
      <c r="C4" s="120" t="s">
        <v>179</v>
      </c>
      <c r="D4" s="120" t="s">
        <v>178</v>
      </c>
      <c r="E4" s="120" t="s">
        <v>179</v>
      </c>
      <c r="F4" s="120" t="s">
        <v>178</v>
      </c>
      <c r="G4" s="120" t="s">
        <v>179</v>
      </c>
      <c r="H4" s="120" t="s">
        <v>178</v>
      </c>
      <c r="I4" s="128" t="s">
        <v>179</v>
      </c>
      <c r="J4" s="9"/>
    </row>
    <row r="5" spans="1:12" ht="15.75">
      <c r="A5" s="488"/>
      <c r="B5" s="307" t="s">
        <v>117</v>
      </c>
      <c r="C5" s="121" t="s">
        <v>180</v>
      </c>
      <c r="D5" s="307" t="s">
        <v>117</v>
      </c>
      <c r="E5" s="121" t="s">
        <v>180</v>
      </c>
      <c r="F5" s="307" t="s">
        <v>117</v>
      </c>
      <c r="G5" s="121" t="s">
        <v>180</v>
      </c>
      <c r="H5" s="121" t="s">
        <v>167</v>
      </c>
      <c r="I5" s="129" t="s">
        <v>180</v>
      </c>
      <c r="J5" s="9"/>
    </row>
    <row r="6" spans="1:12" ht="15.75">
      <c r="A6" s="122" t="s">
        <v>181</v>
      </c>
      <c r="B6" s="123">
        <v>173.7</v>
      </c>
      <c r="C6" s="123">
        <v>104.1</v>
      </c>
      <c r="D6" s="123">
        <v>81.900000000000006</v>
      </c>
      <c r="E6" s="123">
        <v>13.2</v>
      </c>
      <c r="F6" s="124">
        <v>72.7</v>
      </c>
      <c r="G6" s="123">
        <v>27.2</v>
      </c>
      <c r="H6" s="123">
        <v>328.3</v>
      </c>
      <c r="I6" s="130">
        <v>144.6</v>
      </c>
      <c r="J6" s="9"/>
    </row>
    <row r="7" spans="1:12" ht="15.75">
      <c r="A7" s="122" t="s">
        <v>182</v>
      </c>
      <c r="B7" s="123">
        <v>146</v>
      </c>
      <c r="C7" s="123">
        <v>107.5</v>
      </c>
      <c r="D7" s="123">
        <v>105.1</v>
      </c>
      <c r="E7" s="123">
        <v>18.399999999999999</v>
      </c>
      <c r="F7" s="124">
        <v>62.6</v>
      </c>
      <c r="G7" s="123">
        <v>24.2</v>
      </c>
      <c r="H7" s="123">
        <v>313.60000000000002</v>
      </c>
      <c r="I7" s="130">
        <v>150.19999999999999</v>
      </c>
      <c r="J7" s="9"/>
    </row>
    <row r="8" spans="1:12" ht="15.75">
      <c r="A8" s="122" t="s">
        <v>183</v>
      </c>
      <c r="B8" s="123">
        <v>210.1</v>
      </c>
      <c r="C8" s="123">
        <v>110.8</v>
      </c>
      <c r="D8" s="123">
        <v>117.3</v>
      </c>
      <c r="E8" s="123">
        <v>18.399999999999999</v>
      </c>
      <c r="F8" s="124">
        <v>78.099999999999994</v>
      </c>
      <c r="G8" s="123">
        <v>28.5</v>
      </c>
      <c r="H8" s="123">
        <v>405.5</v>
      </c>
      <c r="I8" s="130">
        <v>157.69999999999999</v>
      </c>
      <c r="J8" s="9"/>
    </row>
    <row r="9" spans="1:12" ht="15.75">
      <c r="A9" s="308" t="s">
        <v>184</v>
      </c>
      <c r="B9" s="125">
        <v>202.9</v>
      </c>
      <c r="C9" s="125">
        <v>104.3</v>
      </c>
      <c r="D9" s="125">
        <v>113.3</v>
      </c>
      <c r="E9" s="125">
        <v>19.7</v>
      </c>
      <c r="F9" s="125">
        <v>75.400000000000006</v>
      </c>
      <c r="G9" s="125">
        <v>23.2</v>
      </c>
      <c r="H9" s="125">
        <v>391.5</v>
      </c>
      <c r="I9" s="131">
        <v>147.1</v>
      </c>
      <c r="J9" s="9"/>
    </row>
    <row r="10" spans="1:12" ht="15.75">
      <c r="A10" s="325" t="s">
        <v>185</v>
      </c>
      <c r="B10" s="326">
        <v>221.1</v>
      </c>
      <c r="C10" s="326">
        <v>107.6</v>
      </c>
      <c r="D10" s="326">
        <v>131</v>
      </c>
      <c r="E10" s="326">
        <v>22.3</v>
      </c>
      <c r="F10" s="326">
        <v>78.099999999999994</v>
      </c>
      <c r="G10" s="326">
        <v>23.8</v>
      </c>
      <c r="H10" s="326">
        <v>430.2</v>
      </c>
      <c r="I10" s="327">
        <v>153.69999999999999</v>
      </c>
      <c r="J10" s="423"/>
      <c r="L10" s="214"/>
    </row>
    <row r="11" spans="1:12" ht="15.75">
      <c r="A11" s="11" t="s">
        <v>186</v>
      </c>
      <c r="B11" s="11"/>
      <c r="C11" s="11"/>
      <c r="D11" s="11"/>
      <c r="E11" s="11"/>
      <c r="F11" s="11"/>
      <c r="G11" s="11"/>
      <c r="H11" s="126"/>
      <c r="I11" s="126"/>
      <c r="J11" s="9"/>
    </row>
    <row r="12" spans="1:12" ht="15.75">
      <c r="A12" s="127" t="s">
        <v>44</v>
      </c>
      <c r="B12" s="127"/>
      <c r="C12" s="127"/>
      <c r="D12" s="11"/>
      <c r="E12" s="11"/>
      <c r="F12" s="11"/>
      <c r="G12" s="11"/>
      <c r="H12" s="126"/>
      <c r="I12" s="126"/>
      <c r="J12" s="9"/>
    </row>
    <row r="13" spans="1:12" ht="16.5">
      <c r="A13" s="309" t="s">
        <v>187</v>
      </c>
      <c r="B13" s="127"/>
      <c r="C13" s="127"/>
      <c r="D13" s="11"/>
      <c r="E13" s="11"/>
      <c r="F13" s="11"/>
      <c r="G13" s="11"/>
      <c r="H13" s="126"/>
      <c r="I13" s="126"/>
      <c r="J13" s="9"/>
    </row>
    <row r="15" spans="1:12">
      <c r="B15" s="424"/>
      <c r="D15" s="424"/>
      <c r="F15" s="424"/>
    </row>
    <row r="16" spans="1:12">
      <c r="B16" s="424"/>
      <c r="D16" s="424"/>
      <c r="F16" s="424"/>
    </row>
    <row r="17" spans="3:3">
      <c r="C17" s="424"/>
    </row>
  </sheetData>
  <mergeCells count="5">
    <mergeCell ref="B3:C3"/>
    <mergeCell ref="D3:E3"/>
    <mergeCell ref="F3:G3"/>
    <mergeCell ref="H3:I3"/>
    <mergeCell ref="A3:A5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showGridLines="0" zoomScale="89" zoomScaleNormal="89" workbookViewId="0">
      <selection activeCell="H24" sqref="H24"/>
    </sheetView>
  </sheetViews>
  <sheetFormatPr defaultColWidth="9.140625" defaultRowHeight="12"/>
  <cols>
    <col min="1" max="1" width="5.7109375" style="90" customWidth="1"/>
    <col min="2" max="2" width="32.7109375" style="90" customWidth="1"/>
    <col min="3" max="3" width="12.140625" style="90" customWidth="1"/>
    <col min="4" max="8" width="10.7109375" style="90" customWidth="1"/>
    <col min="9" max="9" width="9.140625" style="90"/>
    <col min="10" max="10" width="17.5703125" style="90" bestFit="1" customWidth="1"/>
    <col min="11" max="11" width="12.140625" style="90" bestFit="1" customWidth="1"/>
    <col min="12" max="16384" width="9.140625" style="90"/>
  </cols>
  <sheetData>
    <row r="1" spans="1:14" ht="22.5" customHeight="1">
      <c r="A1" s="2" t="s">
        <v>371</v>
      </c>
      <c r="B1" s="2"/>
      <c r="C1" s="2"/>
      <c r="D1" s="2"/>
      <c r="E1" s="2"/>
      <c r="F1" s="2"/>
      <c r="G1" s="9"/>
      <c r="H1" s="9"/>
      <c r="I1" s="9"/>
    </row>
    <row r="2" spans="1:14" ht="22.5" customHeight="1">
      <c r="A2" s="2"/>
      <c r="B2" s="2"/>
      <c r="C2" s="2"/>
      <c r="D2" s="2"/>
      <c r="E2" s="2"/>
      <c r="F2" s="2"/>
      <c r="G2" s="9"/>
      <c r="H2" s="9"/>
      <c r="I2" s="9"/>
    </row>
    <row r="3" spans="1:14" ht="14.25">
      <c r="A3" s="489"/>
      <c r="B3" s="490"/>
      <c r="C3" s="91" t="s">
        <v>66</v>
      </c>
      <c r="D3" s="92" t="s">
        <v>134</v>
      </c>
      <c r="E3" s="93" t="s">
        <v>135</v>
      </c>
      <c r="F3" s="92" t="s">
        <v>136</v>
      </c>
      <c r="G3" s="92" t="s">
        <v>188</v>
      </c>
      <c r="H3" s="92" t="s">
        <v>274</v>
      </c>
    </row>
    <row r="4" spans="1:14" ht="14.25">
      <c r="A4" s="491" t="s">
        <v>189</v>
      </c>
      <c r="B4" s="492"/>
      <c r="C4" s="94"/>
      <c r="D4" s="95"/>
      <c r="E4" s="94"/>
      <c r="F4" s="95"/>
      <c r="G4" s="95"/>
      <c r="H4" s="95"/>
    </row>
    <row r="5" spans="1:14" ht="14.25">
      <c r="A5" s="96"/>
      <c r="B5" s="96" t="s">
        <v>190</v>
      </c>
      <c r="C5" s="97" t="s">
        <v>191</v>
      </c>
      <c r="D5" s="98">
        <v>25710</v>
      </c>
      <c r="E5" s="99">
        <v>25911</v>
      </c>
      <c r="F5" s="98">
        <v>25026</v>
      </c>
      <c r="G5" s="98">
        <v>25570</v>
      </c>
      <c r="H5" s="98">
        <v>25709</v>
      </c>
      <c r="K5" s="115"/>
    </row>
    <row r="6" spans="1:14" ht="14.25">
      <c r="A6" s="96"/>
      <c r="B6" s="96" t="s">
        <v>192</v>
      </c>
      <c r="C6" s="97" t="s">
        <v>193</v>
      </c>
      <c r="D6" s="98">
        <v>7684</v>
      </c>
      <c r="E6" s="99">
        <v>7684</v>
      </c>
      <c r="F6" s="98">
        <v>9504</v>
      </c>
      <c r="G6" s="98">
        <v>10024</v>
      </c>
      <c r="H6" s="98">
        <v>11488</v>
      </c>
      <c r="K6" s="115"/>
    </row>
    <row r="7" spans="1:14" ht="14.25">
      <c r="A7" s="96"/>
      <c r="B7" s="96" t="s">
        <v>194</v>
      </c>
      <c r="C7" s="97" t="s">
        <v>13</v>
      </c>
      <c r="D7" s="100">
        <v>8748</v>
      </c>
      <c r="E7" s="101">
        <v>9017</v>
      </c>
      <c r="F7" s="100">
        <v>9664</v>
      </c>
      <c r="G7" s="100">
        <v>10114</v>
      </c>
      <c r="H7" s="100">
        <v>13078</v>
      </c>
      <c r="K7" s="115"/>
      <c r="M7" s="116"/>
      <c r="N7" s="116"/>
    </row>
    <row r="8" spans="1:14" ht="14.25">
      <c r="A8" s="96"/>
      <c r="B8" s="96" t="s">
        <v>195</v>
      </c>
      <c r="C8" s="97" t="s">
        <v>13</v>
      </c>
      <c r="D8" s="100">
        <v>5759</v>
      </c>
      <c r="E8" s="101">
        <v>5177</v>
      </c>
      <c r="F8" s="100">
        <v>6113</v>
      </c>
      <c r="G8" s="100">
        <v>6272</v>
      </c>
      <c r="H8" s="100">
        <v>8315</v>
      </c>
      <c r="K8" s="115"/>
    </row>
    <row r="9" spans="1:14" ht="14.25">
      <c r="A9" s="491" t="s">
        <v>196</v>
      </c>
      <c r="B9" s="492"/>
      <c r="C9" s="97"/>
      <c r="D9" s="98"/>
      <c r="E9" s="99"/>
      <c r="F9" s="98"/>
      <c r="G9" s="98"/>
      <c r="H9" s="98"/>
      <c r="K9" s="115"/>
    </row>
    <row r="10" spans="1:14" ht="14.25">
      <c r="A10" s="96"/>
      <c r="B10" s="96" t="s">
        <v>197</v>
      </c>
      <c r="C10" s="97" t="s">
        <v>191</v>
      </c>
      <c r="D10" s="98">
        <v>32324</v>
      </c>
      <c r="E10" s="99">
        <v>31591</v>
      </c>
      <c r="F10" s="98">
        <v>32028</v>
      </c>
      <c r="G10" s="98">
        <v>44255</v>
      </c>
      <c r="H10" s="98">
        <v>38939</v>
      </c>
      <c r="K10" s="115"/>
    </row>
    <row r="11" spans="1:14" ht="14.25">
      <c r="A11" s="96"/>
      <c r="B11" s="96" t="s">
        <v>192</v>
      </c>
      <c r="C11" s="97" t="s">
        <v>193</v>
      </c>
      <c r="D11" s="98">
        <v>15688</v>
      </c>
      <c r="E11" s="99">
        <v>17020</v>
      </c>
      <c r="F11" s="98">
        <v>23634</v>
      </c>
      <c r="G11" s="98">
        <v>30238</v>
      </c>
      <c r="H11" s="98">
        <v>31702</v>
      </c>
      <c r="I11" s="115"/>
      <c r="K11" s="115"/>
    </row>
    <row r="12" spans="1:14" ht="14.25">
      <c r="A12" s="96"/>
      <c r="B12" s="96" t="s">
        <v>194</v>
      </c>
      <c r="C12" s="97" t="s">
        <v>13</v>
      </c>
      <c r="D12" s="98">
        <v>10109</v>
      </c>
      <c r="E12" s="99">
        <v>10457</v>
      </c>
      <c r="F12" s="102">
        <v>11130</v>
      </c>
      <c r="G12" s="102">
        <v>13199</v>
      </c>
      <c r="H12" s="102">
        <v>16999</v>
      </c>
      <c r="J12" s="323"/>
      <c r="K12" s="115"/>
    </row>
    <row r="13" spans="1:14" ht="14.25">
      <c r="A13" s="96"/>
      <c r="B13" s="96" t="s">
        <v>195</v>
      </c>
      <c r="C13" s="97" t="s">
        <v>13</v>
      </c>
      <c r="D13" s="98">
        <v>6374</v>
      </c>
      <c r="E13" s="99">
        <v>5801</v>
      </c>
      <c r="F13" s="102">
        <v>6602</v>
      </c>
      <c r="G13" s="102">
        <v>7813</v>
      </c>
      <c r="H13" s="102">
        <v>10484</v>
      </c>
      <c r="K13" s="115"/>
    </row>
    <row r="14" spans="1:14" ht="14.25">
      <c r="A14" s="491" t="s">
        <v>198</v>
      </c>
      <c r="B14" s="492"/>
      <c r="C14" s="97"/>
      <c r="D14" s="103"/>
      <c r="E14" s="104"/>
      <c r="F14" s="103"/>
      <c r="G14" s="103"/>
      <c r="H14" s="103"/>
      <c r="K14" s="115"/>
    </row>
    <row r="15" spans="1:14" ht="14.25">
      <c r="A15" s="96"/>
      <c r="B15" s="96" t="s">
        <v>199</v>
      </c>
      <c r="C15" s="97" t="s">
        <v>124</v>
      </c>
      <c r="D15" s="100">
        <v>120996</v>
      </c>
      <c r="E15" s="101">
        <v>141920</v>
      </c>
      <c r="F15" s="100">
        <v>148670</v>
      </c>
      <c r="G15" s="100">
        <v>137769</v>
      </c>
      <c r="H15" s="100">
        <v>153654</v>
      </c>
      <c r="K15" s="115"/>
    </row>
    <row r="16" spans="1:14" ht="16.5">
      <c r="A16" s="96"/>
      <c r="B16" s="96" t="s">
        <v>289</v>
      </c>
      <c r="C16" s="97" t="s">
        <v>124</v>
      </c>
      <c r="D16" s="98">
        <v>8473</v>
      </c>
      <c r="E16" s="99">
        <v>9600</v>
      </c>
      <c r="F16" s="98">
        <v>8338</v>
      </c>
      <c r="G16" s="98">
        <v>9268</v>
      </c>
      <c r="H16" s="98">
        <v>23920</v>
      </c>
      <c r="K16" s="115"/>
    </row>
    <row r="17" spans="1:11" ht="14.25">
      <c r="A17" s="96"/>
      <c r="B17" s="96" t="s">
        <v>200</v>
      </c>
      <c r="C17" s="97" t="s">
        <v>124</v>
      </c>
      <c r="D17" s="98">
        <v>9423</v>
      </c>
      <c r="E17" s="99">
        <v>5704</v>
      </c>
      <c r="F17" s="98">
        <v>3169</v>
      </c>
      <c r="G17" s="98">
        <v>5404</v>
      </c>
      <c r="H17" s="98">
        <v>6561</v>
      </c>
      <c r="K17" s="115"/>
    </row>
    <row r="18" spans="1:11" ht="14.25">
      <c r="A18" s="96"/>
      <c r="B18" s="96" t="s">
        <v>201</v>
      </c>
      <c r="C18" s="97" t="s">
        <v>124</v>
      </c>
      <c r="D18" s="98">
        <v>3686</v>
      </c>
      <c r="E18" s="99">
        <v>3492</v>
      </c>
      <c r="F18" s="98">
        <v>5751</v>
      </c>
      <c r="G18" s="98">
        <v>8831</v>
      </c>
      <c r="H18" s="98">
        <v>9454</v>
      </c>
      <c r="K18" s="115"/>
    </row>
    <row r="19" spans="1:11" ht="14.25">
      <c r="A19" s="96"/>
      <c r="B19" s="96" t="s">
        <v>202</v>
      </c>
      <c r="C19" s="97" t="s">
        <v>124</v>
      </c>
      <c r="D19" s="98">
        <v>8184</v>
      </c>
      <c r="E19" s="99">
        <v>8062</v>
      </c>
      <c r="F19" s="98">
        <v>8184</v>
      </c>
      <c r="G19" s="98">
        <v>8366</v>
      </c>
      <c r="H19" s="98">
        <v>10521</v>
      </c>
      <c r="K19" s="115"/>
    </row>
    <row r="20" spans="1:11" ht="14.25">
      <c r="A20" s="9"/>
      <c r="B20" s="96" t="s">
        <v>203</v>
      </c>
      <c r="C20" s="97" t="s">
        <v>124</v>
      </c>
      <c r="D20" s="98">
        <v>3040</v>
      </c>
      <c r="E20" s="99">
        <v>3584</v>
      </c>
      <c r="F20" s="98">
        <v>2800</v>
      </c>
      <c r="G20" s="98">
        <v>4000</v>
      </c>
      <c r="H20" s="98">
        <v>4396</v>
      </c>
      <c r="K20" s="115"/>
    </row>
    <row r="21" spans="1:11" ht="14.25">
      <c r="A21" s="9"/>
      <c r="B21" s="96" t="s">
        <v>204</v>
      </c>
      <c r="C21" s="97" t="s">
        <v>124</v>
      </c>
      <c r="D21" s="98">
        <v>1083</v>
      </c>
      <c r="E21" s="99">
        <v>1728</v>
      </c>
      <c r="F21" s="98">
        <v>3670</v>
      </c>
      <c r="G21" s="98">
        <v>10739</v>
      </c>
      <c r="H21" s="98">
        <v>9024</v>
      </c>
      <c r="K21" s="115"/>
    </row>
    <row r="22" spans="1:11" ht="14.25">
      <c r="A22" s="9"/>
      <c r="B22" s="96" t="s">
        <v>205</v>
      </c>
      <c r="C22" s="97" t="s">
        <v>124</v>
      </c>
      <c r="D22" s="98">
        <v>900</v>
      </c>
      <c r="E22" s="99">
        <v>1200</v>
      </c>
      <c r="F22" s="98">
        <v>658</v>
      </c>
      <c r="G22" s="98">
        <v>2462</v>
      </c>
      <c r="H22" s="98">
        <v>4942</v>
      </c>
      <c r="K22" s="115"/>
    </row>
    <row r="23" spans="1:11" ht="14.25">
      <c r="A23" s="11"/>
      <c r="B23" s="96" t="s">
        <v>206</v>
      </c>
      <c r="C23" s="105" t="s">
        <v>124</v>
      </c>
      <c r="D23" s="98">
        <v>4800</v>
      </c>
      <c r="E23" s="99">
        <v>5600</v>
      </c>
      <c r="F23" s="98">
        <v>4760</v>
      </c>
      <c r="G23" s="98">
        <v>5460</v>
      </c>
      <c r="H23" s="98">
        <v>6592</v>
      </c>
      <c r="K23" s="115"/>
    </row>
    <row r="24" spans="1:11" ht="14.25">
      <c r="A24" s="106"/>
      <c r="B24" s="107" t="s">
        <v>207</v>
      </c>
      <c r="C24" s="108" t="s">
        <v>124</v>
      </c>
      <c r="D24" s="109">
        <v>160585</v>
      </c>
      <c r="E24" s="110">
        <v>180890</v>
      </c>
      <c r="F24" s="109">
        <v>186000</v>
      </c>
      <c r="G24" s="109">
        <v>192299</v>
      </c>
      <c r="H24" s="109">
        <v>229064</v>
      </c>
      <c r="J24" s="323"/>
      <c r="K24" s="115"/>
    </row>
    <row r="25" spans="1:11" ht="14.25">
      <c r="A25" s="16" t="s">
        <v>208</v>
      </c>
      <c r="B25" s="11"/>
      <c r="C25" s="11"/>
      <c r="D25" s="11"/>
      <c r="E25" s="11"/>
      <c r="F25" s="111"/>
      <c r="G25" s="9"/>
      <c r="H25" s="9"/>
      <c r="I25" s="9"/>
    </row>
    <row r="26" spans="1:11" ht="14.25">
      <c r="A26" s="11" t="s">
        <v>102</v>
      </c>
      <c r="B26" s="11"/>
      <c r="C26" s="11"/>
      <c r="D26" s="11"/>
      <c r="E26" s="112"/>
      <c r="F26" s="112"/>
      <c r="G26" s="112"/>
      <c r="H26" s="322"/>
      <c r="I26" s="9"/>
    </row>
    <row r="27" spans="1:11">
      <c r="A27" s="113" t="s">
        <v>290</v>
      </c>
      <c r="B27" s="113"/>
      <c r="C27" s="113"/>
      <c r="D27" s="321"/>
      <c r="E27" s="321"/>
      <c r="F27" s="321"/>
      <c r="G27" s="321"/>
      <c r="H27" s="321"/>
    </row>
    <row r="28" spans="1:11">
      <c r="D28" s="114"/>
      <c r="E28" s="114"/>
      <c r="F28" s="114"/>
      <c r="G28" s="114"/>
    </row>
  </sheetData>
  <mergeCells count="4">
    <mergeCell ref="A3:B3"/>
    <mergeCell ref="A4:B4"/>
    <mergeCell ref="A9:B9"/>
    <mergeCell ref="A14:B1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showGridLines="0" workbookViewId="0">
      <selection activeCell="G18" sqref="G18"/>
    </sheetView>
  </sheetViews>
  <sheetFormatPr defaultColWidth="9" defaultRowHeight="15"/>
  <cols>
    <col min="1" max="1" width="23.28515625" customWidth="1"/>
    <col min="2" max="2" width="11" customWidth="1"/>
    <col min="3" max="3" width="11.7109375" hidden="1" customWidth="1"/>
    <col min="4" max="4" width="13.85546875" customWidth="1"/>
    <col min="5" max="9" width="15.7109375" customWidth="1"/>
  </cols>
  <sheetData>
    <row r="1" spans="1:9" ht="15.75">
      <c r="A1" s="493" t="s">
        <v>372</v>
      </c>
      <c r="B1" s="493"/>
      <c r="C1" s="493"/>
      <c r="D1" s="493"/>
      <c r="E1" s="493"/>
      <c r="F1" s="493"/>
      <c r="G1" s="493"/>
      <c r="H1" s="493"/>
      <c r="I1" s="9"/>
    </row>
    <row r="2" spans="1:9" ht="15.75">
      <c r="A2" s="9"/>
      <c r="B2" s="9"/>
      <c r="C2" s="9"/>
      <c r="D2" s="9"/>
      <c r="E2" s="9"/>
      <c r="F2" s="9"/>
      <c r="G2" s="9"/>
      <c r="H2" s="9"/>
      <c r="I2" s="9"/>
    </row>
    <row r="3" spans="1:9" ht="15.75">
      <c r="A3" s="71"/>
      <c r="B3" s="72" t="s">
        <v>66</v>
      </c>
      <c r="C3" s="73">
        <v>2016</v>
      </c>
      <c r="D3" s="73">
        <v>2019</v>
      </c>
      <c r="E3" s="74">
        <v>2020</v>
      </c>
      <c r="F3" s="74">
        <v>2021</v>
      </c>
      <c r="G3" s="74">
        <v>2022</v>
      </c>
      <c r="H3" s="74" t="s">
        <v>14</v>
      </c>
    </row>
    <row r="4" spans="1:9" ht="16.5">
      <c r="A4" s="75" t="s">
        <v>291</v>
      </c>
      <c r="B4" s="76"/>
      <c r="C4" s="77"/>
      <c r="D4" s="77"/>
      <c r="E4" s="78"/>
      <c r="F4" s="79"/>
      <c r="G4" s="79"/>
      <c r="H4" s="79"/>
    </row>
    <row r="5" spans="1:9" ht="15.75">
      <c r="A5" s="80" t="s">
        <v>209</v>
      </c>
      <c r="B5" s="76" t="s">
        <v>124</v>
      </c>
      <c r="C5" s="81">
        <v>239.31</v>
      </c>
      <c r="D5" s="81">
        <v>302.89999999999998</v>
      </c>
      <c r="E5" s="82">
        <v>284.89999999999998</v>
      </c>
      <c r="F5" s="83">
        <v>500.1</v>
      </c>
      <c r="G5" s="81">
        <v>943.9</v>
      </c>
      <c r="H5" s="82">
        <v>1680</v>
      </c>
    </row>
    <row r="6" spans="1:9" ht="15.75">
      <c r="A6" s="80" t="s">
        <v>210</v>
      </c>
      <c r="B6" s="76" t="s">
        <v>211</v>
      </c>
      <c r="C6" s="84">
        <v>91.892106472775893</v>
      </c>
      <c r="D6" s="84">
        <v>217.7</v>
      </c>
      <c r="E6" s="83">
        <v>200</v>
      </c>
      <c r="F6" s="83">
        <v>213</v>
      </c>
      <c r="G6" s="84">
        <v>250</v>
      </c>
      <c r="H6" s="83">
        <v>305</v>
      </c>
    </row>
    <row r="7" spans="1:9" ht="15.75">
      <c r="A7" s="80" t="s">
        <v>212</v>
      </c>
      <c r="B7" s="76" t="s">
        <v>213</v>
      </c>
      <c r="C7" s="84">
        <v>21.9907</v>
      </c>
      <c r="D7" s="84">
        <v>65.900000000000006</v>
      </c>
      <c r="E7" s="83">
        <v>57</v>
      </c>
      <c r="F7" s="83">
        <v>106.5</v>
      </c>
      <c r="G7" s="84">
        <v>236</v>
      </c>
      <c r="H7" s="83">
        <v>512.4</v>
      </c>
    </row>
    <row r="8" spans="1:9" ht="15.75">
      <c r="A8" s="75" t="s">
        <v>214</v>
      </c>
      <c r="B8" s="76"/>
      <c r="C8" s="84"/>
      <c r="D8" s="84"/>
      <c r="E8" s="83"/>
      <c r="F8" s="83"/>
      <c r="G8" s="81"/>
      <c r="H8" s="82"/>
    </row>
    <row r="9" spans="1:9" ht="15.75">
      <c r="A9" s="80" t="s">
        <v>215</v>
      </c>
      <c r="B9" s="76" t="s">
        <v>124</v>
      </c>
      <c r="C9" s="81">
        <v>4.78613</v>
      </c>
      <c r="D9" s="81">
        <v>7.4</v>
      </c>
      <c r="E9" s="82">
        <v>5.7</v>
      </c>
      <c r="F9" s="83">
        <v>11.5</v>
      </c>
      <c r="G9" s="84">
        <v>22.2</v>
      </c>
      <c r="H9" s="83">
        <v>30.3</v>
      </c>
    </row>
    <row r="10" spans="1:9" ht="15.75">
      <c r="A10" s="80" t="s">
        <v>216</v>
      </c>
      <c r="B10" s="76" t="s">
        <v>211</v>
      </c>
      <c r="C10" s="84">
        <v>25010.0812138408</v>
      </c>
      <c r="D10" s="84">
        <v>24999.3</v>
      </c>
      <c r="E10" s="83">
        <v>23151.4</v>
      </c>
      <c r="F10" s="83">
        <v>25000</v>
      </c>
      <c r="G10" s="84">
        <v>27000</v>
      </c>
      <c r="H10" s="83">
        <v>37500</v>
      </c>
    </row>
    <row r="11" spans="1:9" ht="15.75">
      <c r="A11" s="85" t="s">
        <v>217</v>
      </c>
      <c r="B11" s="86" t="s">
        <v>213</v>
      </c>
      <c r="C11" s="87">
        <v>119.7015</v>
      </c>
      <c r="D11" s="87">
        <v>185.3</v>
      </c>
      <c r="E11" s="88">
        <v>131.9</v>
      </c>
      <c r="F11" s="87">
        <v>287.5</v>
      </c>
      <c r="G11" s="312">
        <v>598.1</v>
      </c>
      <c r="H11" s="313">
        <v>1136.2</v>
      </c>
    </row>
    <row r="12" spans="1:9" ht="15.75">
      <c r="A12" s="89" t="s">
        <v>218</v>
      </c>
      <c r="B12" s="9"/>
      <c r="C12" s="9"/>
      <c r="D12" s="9"/>
      <c r="E12" s="9"/>
      <c r="F12" s="9"/>
      <c r="G12" s="9"/>
      <c r="H12" s="9"/>
      <c r="I12" s="9"/>
    </row>
    <row r="13" spans="1:9" ht="15.75">
      <c r="A13" s="89" t="s">
        <v>10</v>
      </c>
      <c r="B13" s="11"/>
      <c r="C13" s="11"/>
      <c r="D13" s="11"/>
      <c r="E13" s="9"/>
      <c r="F13" s="9"/>
      <c r="G13" s="9"/>
      <c r="H13" s="9"/>
      <c r="I13" s="9"/>
    </row>
    <row r="14" spans="1:9" ht="16.5">
      <c r="A14" s="339" t="s">
        <v>292</v>
      </c>
      <c r="B14" s="113"/>
      <c r="C14" s="113"/>
      <c r="D14" s="113"/>
    </row>
  </sheetData>
  <mergeCells count="1">
    <mergeCell ref="A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showGridLines="0" zoomScaleNormal="100" workbookViewId="0">
      <selection activeCell="D4" sqref="D4:H23"/>
    </sheetView>
  </sheetViews>
  <sheetFormatPr defaultColWidth="9" defaultRowHeight="15"/>
  <cols>
    <col min="1" max="1" width="2.42578125" customWidth="1"/>
    <col min="2" max="2" width="39.140625" customWidth="1"/>
    <col min="3" max="3" width="15.42578125" customWidth="1"/>
    <col min="4" max="7" width="12.7109375" customWidth="1"/>
    <col min="8" max="9" width="11" bestFit="1" customWidth="1"/>
  </cols>
  <sheetData>
    <row r="1" spans="1:8" ht="15.75" customHeight="1">
      <c r="A1" s="274" t="s">
        <v>373</v>
      </c>
      <c r="B1" s="274"/>
      <c r="C1" s="274"/>
      <c r="D1" s="274"/>
      <c r="E1" s="274"/>
      <c r="F1" s="274"/>
      <c r="G1" s="274"/>
      <c r="H1" s="274"/>
    </row>
    <row r="2" spans="1:8" ht="15.75">
      <c r="A2" s="9"/>
      <c r="B2" s="9"/>
      <c r="C2" s="9"/>
      <c r="D2" s="9"/>
      <c r="E2" s="9"/>
      <c r="F2" s="9"/>
      <c r="G2" s="9"/>
      <c r="H2" s="9"/>
    </row>
    <row r="3" spans="1:8" ht="15.75">
      <c r="A3" s="403"/>
      <c r="B3" s="404"/>
      <c r="C3" s="405" t="s">
        <v>66</v>
      </c>
      <c r="D3" s="406">
        <v>2019</v>
      </c>
      <c r="E3" s="406">
        <v>2020</v>
      </c>
      <c r="F3" s="406">
        <v>2021</v>
      </c>
      <c r="G3" s="406">
        <v>2022</v>
      </c>
      <c r="H3" s="406" t="s">
        <v>14</v>
      </c>
    </row>
    <row r="4" spans="1:8" ht="15.75">
      <c r="A4" s="494" t="s">
        <v>356</v>
      </c>
      <c r="B4" s="495"/>
      <c r="C4" s="407" t="s">
        <v>219</v>
      </c>
      <c r="D4" s="408">
        <v>685.9</v>
      </c>
      <c r="E4" s="409">
        <v>684.4</v>
      </c>
      <c r="F4" s="409">
        <v>801.9</v>
      </c>
      <c r="G4" s="409">
        <v>754.3</v>
      </c>
      <c r="H4" s="409">
        <v>806.6</v>
      </c>
    </row>
    <row r="5" spans="1:8" ht="15.75">
      <c r="A5" s="496" t="s">
        <v>357</v>
      </c>
      <c r="B5" s="497"/>
      <c r="C5" s="407" t="s">
        <v>219</v>
      </c>
      <c r="D5" s="408">
        <v>3983.3</v>
      </c>
      <c r="E5" s="411">
        <v>4048.1</v>
      </c>
      <c r="F5" s="411">
        <v>4640.8999999999996</v>
      </c>
      <c r="G5" s="411">
        <v>4604.3</v>
      </c>
      <c r="H5" s="411">
        <v>4568.6000000000004</v>
      </c>
    </row>
    <row r="6" spans="1:8" ht="15.75">
      <c r="A6" s="410"/>
      <c r="B6" s="397"/>
      <c r="C6" s="407"/>
      <c r="D6" s="411"/>
      <c r="E6" s="411"/>
      <c r="F6" s="411"/>
      <c r="G6" s="411"/>
      <c r="H6" s="411"/>
    </row>
    <row r="7" spans="1:8" ht="15.75">
      <c r="A7" s="496" t="s">
        <v>220</v>
      </c>
      <c r="B7" s="497"/>
      <c r="C7" s="407"/>
      <c r="D7" s="411"/>
      <c r="E7" s="411"/>
      <c r="F7" s="411"/>
      <c r="G7" s="411"/>
      <c r="H7" s="411"/>
    </row>
    <row r="8" spans="1:8" ht="15.75">
      <c r="A8" s="412"/>
      <c r="B8" s="413" t="s">
        <v>221</v>
      </c>
      <c r="C8" s="407" t="s">
        <v>219</v>
      </c>
      <c r="D8" s="411">
        <v>489.7</v>
      </c>
      <c r="E8" s="411">
        <v>457.9</v>
      </c>
      <c r="F8" s="411">
        <v>510.6</v>
      </c>
      <c r="G8" s="411">
        <v>473.6</v>
      </c>
      <c r="H8" s="411">
        <v>555.4</v>
      </c>
    </row>
    <row r="9" spans="1:8" ht="15.75">
      <c r="A9" s="412"/>
      <c r="B9" s="413" t="s">
        <v>222</v>
      </c>
      <c r="C9" s="407" t="s">
        <v>124</v>
      </c>
      <c r="D9" s="411">
        <v>1013.4</v>
      </c>
      <c r="E9" s="411">
        <v>957.6</v>
      </c>
      <c r="F9" s="411">
        <v>1043.2</v>
      </c>
      <c r="G9" s="411">
        <v>742</v>
      </c>
      <c r="H9" s="411">
        <v>999.6</v>
      </c>
    </row>
    <row r="10" spans="1:8" ht="15.75">
      <c r="A10" s="412"/>
      <c r="B10" s="413" t="s">
        <v>223</v>
      </c>
      <c r="C10" s="407" t="s">
        <v>124</v>
      </c>
      <c r="D10" s="411">
        <v>305.39999999999998</v>
      </c>
      <c r="E10" s="411">
        <v>158</v>
      </c>
      <c r="F10" s="411">
        <v>158.4</v>
      </c>
      <c r="G10" s="411">
        <v>93.2</v>
      </c>
      <c r="H10" s="411">
        <v>72.5</v>
      </c>
    </row>
    <row r="11" spans="1:8" ht="16.5">
      <c r="A11" s="414" t="s">
        <v>349</v>
      </c>
      <c r="B11" s="390"/>
      <c r="C11" s="407" t="s">
        <v>350</v>
      </c>
      <c r="D11" s="415">
        <v>12.3</v>
      </c>
      <c r="E11" s="416">
        <v>11.3</v>
      </c>
      <c r="F11" s="416">
        <v>11</v>
      </c>
      <c r="G11" s="416">
        <v>10.3</v>
      </c>
      <c r="H11" s="417">
        <v>12.2</v>
      </c>
    </row>
    <row r="12" spans="1:8" ht="16.5">
      <c r="A12" s="414" t="s">
        <v>351</v>
      </c>
      <c r="B12" s="390"/>
      <c r="C12" s="407" t="s">
        <v>350</v>
      </c>
      <c r="D12" s="415">
        <v>17.2</v>
      </c>
      <c r="E12" s="416">
        <v>16.899999999999999</v>
      </c>
      <c r="F12" s="416">
        <v>17.3</v>
      </c>
      <c r="G12" s="416">
        <v>16.399999999999999</v>
      </c>
      <c r="H12" s="417">
        <v>17.7</v>
      </c>
    </row>
    <row r="13" spans="1:8" ht="15.75">
      <c r="A13" s="412"/>
      <c r="B13" s="413"/>
      <c r="C13" s="407"/>
      <c r="D13" s="411"/>
      <c r="E13" s="411"/>
      <c r="F13" s="411"/>
      <c r="G13" s="411"/>
      <c r="H13" s="411"/>
    </row>
    <row r="14" spans="1:8" ht="15.75">
      <c r="A14" s="496" t="s">
        <v>309</v>
      </c>
      <c r="B14" s="497"/>
      <c r="C14" s="407" t="s">
        <v>124</v>
      </c>
      <c r="D14" s="411">
        <v>13876.8</v>
      </c>
      <c r="E14" s="411">
        <v>17800.900000000001</v>
      </c>
      <c r="F14" s="411">
        <v>17265.099999999999</v>
      </c>
      <c r="G14" s="411">
        <v>19777.2</v>
      </c>
      <c r="H14" s="411">
        <v>17151.099999999999</v>
      </c>
    </row>
    <row r="15" spans="1:8" ht="15.75">
      <c r="A15" s="496" t="s">
        <v>310</v>
      </c>
      <c r="B15" s="497"/>
      <c r="C15" s="407" t="s">
        <v>124</v>
      </c>
      <c r="D15" s="411">
        <v>1374.4</v>
      </c>
      <c r="E15" s="411">
        <v>1716.5</v>
      </c>
      <c r="F15" s="411">
        <v>5783.3</v>
      </c>
      <c r="G15" s="411">
        <v>2824.9</v>
      </c>
      <c r="H15" s="411">
        <v>3212.2</v>
      </c>
    </row>
    <row r="16" spans="1:8" ht="15.75">
      <c r="A16" s="496" t="s">
        <v>224</v>
      </c>
      <c r="B16" s="497"/>
      <c r="C16" s="407"/>
      <c r="D16" s="411"/>
      <c r="E16" s="411"/>
      <c r="F16" s="411"/>
      <c r="G16" s="411"/>
      <c r="H16" s="411"/>
    </row>
    <row r="17" spans="1:9" ht="15.75">
      <c r="A17" s="412"/>
      <c r="B17" s="413" t="s">
        <v>225</v>
      </c>
      <c r="C17" s="407" t="s">
        <v>226</v>
      </c>
      <c r="D17" s="411">
        <v>2633.5</v>
      </c>
      <c r="E17" s="411">
        <v>1953.7</v>
      </c>
      <c r="F17" s="411">
        <v>2004.9</v>
      </c>
      <c r="G17" s="411">
        <v>1783.1</v>
      </c>
      <c r="H17" s="411">
        <v>1903.3</v>
      </c>
    </row>
    <row r="18" spans="1:9" ht="15.75">
      <c r="A18" s="412"/>
      <c r="B18" s="413" t="s">
        <v>297</v>
      </c>
      <c r="C18" s="407" t="s">
        <v>226</v>
      </c>
      <c r="D18" s="411">
        <v>8048</v>
      </c>
      <c r="E18" s="411">
        <v>12040.2</v>
      </c>
      <c r="F18" s="411">
        <v>9478</v>
      </c>
      <c r="G18" s="411">
        <v>7281</v>
      </c>
      <c r="H18" s="411">
        <v>9906.2000000000007</v>
      </c>
    </row>
    <row r="19" spans="1:9" ht="15.75">
      <c r="A19" s="412"/>
      <c r="B19" s="413" t="s">
        <v>298</v>
      </c>
      <c r="C19" s="407" t="s">
        <v>226</v>
      </c>
      <c r="D19" s="418">
        <v>222</v>
      </c>
      <c r="E19" s="418">
        <v>397</v>
      </c>
      <c r="F19" s="418">
        <v>355.5</v>
      </c>
      <c r="G19" s="418">
        <v>432</v>
      </c>
      <c r="H19" s="418">
        <v>616</v>
      </c>
    </row>
    <row r="20" spans="1:9" ht="15.75">
      <c r="A20" s="412"/>
      <c r="B20" s="413" t="s">
        <v>293</v>
      </c>
      <c r="C20" s="407" t="s">
        <v>226</v>
      </c>
      <c r="D20" s="419">
        <v>1468.3</v>
      </c>
      <c r="E20" s="419">
        <v>2140.8000000000002</v>
      </c>
      <c r="F20" s="419">
        <v>827.8</v>
      </c>
      <c r="G20" s="419">
        <v>532.6</v>
      </c>
      <c r="H20" s="418">
        <v>542.1</v>
      </c>
    </row>
    <row r="21" spans="1:9" ht="15.75">
      <c r="A21" s="412"/>
      <c r="B21" s="413" t="s">
        <v>294</v>
      </c>
      <c r="C21" s="407" t="s">
        <v>226</v>
      </c>
      <c r="D21" s="419">
        <v>63370.5</v>
      </c>
      <c r="E21" s="419">
        <v>49437.3</v>
      </c>
      <c r="F21" s="419">
        <v>63892.9</v>
      </c>
      <c r="G21" s="419">
        <v>66672.100000000006</v>
      </c>
      <c r="H21" s="418">
        <v>66873</v>
      </c>
    </row>
    <row r="22" spans="1:9" ht="15.75">
      <c r="A22" s="412"/>
      <c r="B22" s="413" t="s">
        <v>295</v>
      </c>
      <c r="C22" s="407" t="s">
        <v>226</v>
      </c>
      <c r="D22" s="419">
        <v>191.9</v>
      </c>
      <c r="E22" s="419">
        <v>204.7</v>
      </c>
      <c r="F22" s="419">
        <v>130.4</v>
      </c>
      <c r="G22" s="419">
        <v>81.099999999999994</v>
      </c>
      <c r="H22" s="418">
        <v>184</v>
      </c>
    </row>
    <row r="23" spans="1:9" ht="15.75">
      <c r="A23" s="412"/>
      <c r="B23" s="413" t="s">
        <v>296</v>
      </c>
      <c r="C23" s="407" t="s">
        <v>226</v>
      </c>
      <c r="D23" s="420">
        <v>1663</v>
      </c>
      <c r="E23" s="420">
        <v>1232.5999999999999</v>
      </c>
      <c r="F23" s="420">
        <v>1393.6</v>
      </c>
      <c r="G23" s="420">
        <v>1729.9</v>
      </c>
      <c r="H23" s="421">
        <v>1724.5</v>
      </c>
    </row>
    <row r="24" spans="1:9" ht="15.75">
      <c r="A24" s="498" t="s">
        <v>227</v>
      </c>
      <c r="B24" s="498"/>
      <c r="C24" s="498"/>
      <c r="D24" s="498"/>
      <c r="E24" s="498"/>
      <c r="F24" s="498"/>
      <c r="G24" s="498"/>
      <c r="H24" s="498"/>
    </row>
    <row r="25" spans="1:9" ht="15.75">
      <c r="A25" s="412" t="s">
        <v>102</v>
      </c>
      <c r="B25" s="422"/>
      <c r="C25" s="422"/>
      <c r="D25" s="422"/>
      <c r="E25" s="422"/>
      <c r="F25" s="422"/>
      <c r="G25" s="422"/>
      <c r="H25" s="422"/>
    </row>
    <row r="26" spans="1:9" ht="15.75">
      <c r="A26" s="9"/>
      <c r="B26" s="9"/>
      <c r="C26" s="9"/>
      <c r="D26" s="9"/>
      <c r="E26" s="9"/>
      <c r="F26" s="9"/>
    </row>
    <row r="27" spans="1:9" ht="15.75">
      <c r="A27" s="9"/>
      <c r="B27" s="9"/>
      <c r="C27" s="9"/>
      <c r="D27" s="9"/>
      <c r="E27" s="9"/>
      <c r="F27" s="9"/>
      <c r="I27" s="214"/>
    </row>
    <row r="28" spans="1:9" ht="15.75">
      <c r="A28" s="9"/>
      <c r="B28" s="9"/>
      <c r="C28" s="9"/>
      <c r="D28" s="9"/>
      <c r="E28" s="9"/>
      <c r="F28" s="9"/>
      <c r="H28" s="330"/>
      <c r="I28" s="212"/>
    </row>
    <row r="29" spans="1:9">
      <c r="E29" s="215"/>
      <c r="F29" s="215"/>
      <c r="G29" s="215"/>
      <c r="H29" s="215"/>
      <c r="I29" s="215"/>
    </row>
    <row r="30" spans="1:9">
      <c r="E30" s="215"/>
      <c r="F30" s="215"/>
      <c r="G30" s="215"/>
      <c r="H30" s="215"/>
      <c r="I30" s="215"/>
    </row>
    <row r="31" spans="1:9">
      <c r="E31" s="215"/>
      <c r="F31" s="215"/>
      <c r="G31" s="215"/>
      <c r="H31" s="215"/>
      <c r="I31" s="215"/>
    </row>
    <row r="32" spans="1:9">
      <c r="E32" s="215"/>
      <c r="F32" s="215"/>
      <c r="G32" s="215"/>
      <c r="H32" s="215"/>
      <c r="I32" s="215"/>
    </row>
    <row r="33" spans="4:9">
      <c r="D33" s="70"/>
      <c r="E33" s="215"/>
      <c r="F33" s="215"/>
      <c r="G33" s="215"/>
      <c r="H33" s="215"/>
      <c r="I33" s="215"/>
    </row>
    <row r="34" spans="4:9">
      <c r="E34" s="215"/>
      <c r="F34" s="215"/>
      <c r="G34" s="215"/>
      <c r="H34" s="215"/>
      <c r="I34" s="215"/>
    </row>
    <row r="35" spans="4:9">
      <c r="E35" s="215"/>
      <c r="F35" s="215"/>
      <c r="G35" s="215"/>
      <c r="H35" s="215"/>
      <c r="I35" s="215"/>
    </row>
    <row r="36" spans="4:9">
      <c r="E36" s="215"/>
      <c r="F36" s="215"/>
      <c r="G36" s="215"/>
      <c r="H36" s="215"/>
      <c r="I36" s="215"/>
    </row>
  </sheetData>
  <mergeCells count="7">
    <mergeCell ref="A4:B4"/>
    <mergeCell ref="A7:B7"/>
    <mergeCell ref="A16:B16"/>
    <mergeCell ref="A24:H24"/>
    <mergeCell ref="A14:B14"/>
    <mergeCell ref="A15:B15"/>
    <mergeCell ref="A5:B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showGridLines="0" zoomScale="109" workbookViewId="0">
      <selection activeCell="D20" sqref="D20"/>
    </sheetView>
  </sheetViews>
  <sheetFormatPr defaultColWidth="9.140625" defaultRowHeight="12.75"/>
  <cols>
    <col min="1" max="1" width="55.85546875" style="29" customWidth="1"/>
    <col min="2" max="16384" width="9.140625" style="29"/>
  </cols>
  <sheetData>
    <row r="1" spans="1:18" ht="14.25">
      <c r="A1" s="2" t="s">
        <v>374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8" ht="14.25">
      <c r="A2" s="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O2" s="30" t="s">
        <v>193</v>
      </c>
    </row>
    <row r="3" spans="1:18" ht="14.25">
      <c r="A3" s="31"/>
      <c r="B3" s="504">
        <v>2019</v>
      </c>
      <c r="C3" s="505"/>
      <c r="D3" s="506"/>
      <c r="E3" s="504">
        <v>2020</v>
      </c>
      <c r="F3" s="505"/>
      <c r="G3" s="506"/>
      <c r="H3" s="504">
        <v>2021</v>
      </c>
      <c r="I3" s="505"/>
      <c r="J3" s="505"/>
      <c r="K3" s="504">
        <v>2022</v>
      </c>
      <c r="L3" s="505"/>
      <c r="M3" s="506"/>
      <c r="N3" s="505" t="s">
        <v>14</v>
      </c>
      <c r="O3" s="505"/>
      <c r="P3" s="505"/>
    </row>
    <row r="4" spans="1:18" ht="14.25">
      <c r="A4" s="32"/>
      <c r="B4" s="33" t="s">
        <v>228</v>
      </c>
      <c r="C4" s="34" t="s">
        <v>229</v>
      </c>
      <c r="D4" s="35" t="s">
        <v>86</v>
      </c>
      <c r="E4" s="33" t="s">
        <v>228</v>
      </c>
      <c r="F4" s="34" t="s">
        <v>229</v>
      </c>
      <c r="G4" s="35" t="s">
        <v>86</v>
      </c>
      <c r="H4" s="33" t="s">
        <v>228</v>
      </c>
      <c r="I4" s="34" t="s">
        <v>229</v>
      </c>
      <c r="J4" s="35" t="s">
        <v>86</v>
      </c>
      <c r="K4" s="33" t="s">
        <v>228</v>
      </c>
      <c r="L4" s="34" t="s">
        <v>229</v>
      </c>
      <c r="M4" s="35" t="s">
        <v>86</v>
      </c>
      <c r="N4" s="34" t="s">
        <v>228</v>
      </c>
      <c r="O4" s="34" t="s">
        <v>229</v>
      </c>
      <c r="P4" s="34" t="s">
        <v>86</v>
      </c>
    </row>
    <row r="5" spans="1:18" ht="14.25">
      <c r="A5" s="36" t="s">
        <v>230</v>
      </c>
      <c r="B5" s="37"/>
      <c r="C5" s="30"/>
      <c r="D5" s="38"/>
      <c r="E5" s="37"/>
      <c r="F5" s="30"/>
      <c r="G5" s="38"/>
      <c r="H5" s="37"/>
      <c r="I5" s="30"/>
      <c r="J5" s="38"/>
      <c r="K5" s="37"/>
      <c r="L5" s="30"/>
      <c r="M5" s="345"/>
      <c r="N5" s="62"/>
      <c r="O5" s="30"/>
      <c r="P5" s="62"/>
    </row>
    <row r="6" spans="1:18" ht="14.25">
      <c r="A6" s="39" t="s">
        <v>231</v>
      </c>
      <c r="B6" s="40">
        <v>10626</v>
      </c>
      <c r="C6" s="41">
        <v>6766</v>
      </c>
      <c r="D6" s="42">
        <v>17392</v>
      </c>
      <c r="E6" s="40">
        <v>12913</v>
      </c>
      <c r="F6" s="41">
        <v>7443</v>
      </c>
      <c r="G6" s="42">
        <v>20356</v>
      </c>
      <c r="H6" s="40">
        <v>11523</v>
      </c>
      <c r="I6" s="41">
        <v>7145</v>
      </c>
      <c r="J6" s="42">
        <v>18668</v>
      </c>
      <c r="K6" s="40">
        <v>11439</v>
      </c>
      <c r="L6" s="41">
        <v>6681</v>
      </c>
      <c r="M6" s="42">
        <v>18120</v>
      </c>
      <c r="N6" s="41">
        <v>8311</v>
      </c>
      <c r="O6" s="41">
        <v>3683</v>
      </c>
      <c r="P6" s="41">
        <v>11994</v>
      </c>
    </row>
    <row r="7" spans="1:18" ht="14.25">
      <c r="A7" s="39" t="s">
        <v>311</v>
      </c>
      <c r="B7" s="340" t="s">
        <v>299</v>
      </c>
      <c r="C7" s="341" t="s">
        <v>299</v>
      </c>
      <c r="D7" s="342" t="s">
        <v>299</v>
      </c>
      <c r="E7" s="341" t="s">
        <v>300</v>
      </c>
      <c r="F7" s="341" t="s">
        <v>300</v>
      </c>
      <c r="G7" s="342" t="s">
        <v>300</v>
      </c>
      <c r="H7" s="341" t="s">
        <v>300</v>
      </c>
      <c r="I7" s="341" t="s">
        <v>300</v>
      </c>
      <c r="J7" s="342" t="s">
        <v>300</v>
      </c>
      <c r="K7" s="341" t="s">
        <v>300</v>
      </c>
      <c r="L7" s="341" t="s">
        <v>300</v>
      </c>
      <c r="M7" s="342" t="s">
        <v>300</v>
      </c>
      <c r="N7" s="41">
        <v>246</v>
      </c>
      <c r="O7" s="41">
        <v>151</v>
      </c>
      <c r="P7" s="41">
        <v>397</v>
      </c>
    </row>
    <row r="8" spans="1:18" ht="14.25">
      <c r="A8" s="43" t="s">
        <v>232</v>
      </c>
      <c r="B8" s="44"/>
      <c r="C8" s="45"/>
      <c r="D8" s="46"/>
      <c r="E8" s="44"/>
      <c r="F8" s="45"/>
      <c r="G8" s="46"/>
      <c r="H8" s="44"/>
      <c r="I8" s="45"/>
      <c r="J8" s="46"/>
      <c r="K8" s="44"/>
      <c r="L8" s="45"/>
      <c r="M8" s="42"/>
      <c r="N8" s="45"/>
      <c r="O8" s="45"/>
      <c r="P8" s="45"/>
    </row>
    <row r="9" spans="1:18" ht="14.25">
      <c r="A9" s="39" t="s">
        <v>233</v>
      </c>
      <c r="B9" s="47">
        <v>37</v>
      </c>
      <c r="C9" s="48">
        <v>10</v>
      </c>
      <c r="D9" s="49">
        <v>47</v>
      </c>
      <c r="E9" s="47">
        <v>169</v>
      </c>
      <c r="F9" s="48">
        <v>64</v>
      </c>
      <c r="G9" s="49">
        <v>233</v>
      </c>
      <c r="H9" s="47">
        <v>0</v>
      </c>
      <c r="I9" s="48">
        <v>0</v>
      </c>
      <c r="J9" s="49">
        <v>0</v>
      </c>
      <c r="K9" s="47">
        <v>50</v>
      </c>
      <c r="L9" s="48">
        <v>16</v>
      </c>
      <c r="M9" s="42">
        <v>66</v>
      </c>
      <c r="N9" s="48">
        <v>9</v>
      </c>
      <c r="O9" s="48">
        <v>2</v>
      </c>
      <c r="P9" s="48">
        <v>11</v>
      </c>
    </row>
    <row r="10" spans="1:18" ht="14.25">
      <c r="A10" s="43" t="s">
        <v>232</v>
      </c>
      <c r="B10" s="40"/>
      <c r="C10" s="41"/>
      <c r="D10" s="42"/>
      <c r="E10" s="40"/>
      <c r="F10" s="41"/>
      <c r="G10" s="42"/>
      <c r="H10" s="40"/>
      <c r="I10" s="41"/>
      <c r="J10" s="42"/>
      <c r="K10" s="40"/>
      <c r="L10" s="41"/>
      <c r="M10" s="42"/>
      <c r="N10" s="41"/>
      <c r="O10" s="41"/>
      <c r="P10" s="41"/>
    </row>
    <row r="11" spans="1:18" ht="14.25">
      <c r="A11" s="39" t="s">
        <v>234</v>
      </c>
      <c r="B11" s="40">
        <v>1079</v>
      </c>
      <c r="C11" s="41">
        <v>672</v>
      </c>
      <c r="D11" s="42">
        <v>1751</v>
      </c>
      <c r="E11" s="40">
        <v>891</v>
      </c>
      <c r="F11" s="41">
        <v>557</v>
      </c>
      <c r="G11" s="42">
        <v>1448</v>
      </c>
      <c r="H11" s="40">
        <v>813</v>
      </c>
      <c r="I11" s="41">
        <v>664</v>
      </c>
      <c r="J11" s="42">
        <v>1477</v>
      </c>
      <c r="K11" s="47">
        <v>809</v>
      </c>
      <c r="L11" s="48">
        <v>628</v>
      </c>
      <c r="M11" s="49">
        <v>1437</v>
      </c>
      <c r="N11" s="41">
        <v>933</v>
      </c>
      <c r="O11" s="41">
        <v>487</v>
      </c>
      <c r="P11" s="41">
        <v>1420</v>
      </c>
    </row>
    <row r="12" spans="1:18" ht="14.25">
      <c r="A12" s="39" t="s">
        <v>235</v>
      </c>
      <c r="B12" s="40">
        <v>19</v>
      </c>
      <c r="C12" s="41">
        <v>20</v>
      </c>
      <c r="D12" s="42">
        <v>39</v>
      </c>
      <c r="E12" s="40">
        <v>0</v>
      </c>
      <c r="F12" s="41">
        <v>0</v>
      </c>
      <c r="G12" s="42">
        <v>0</v>
      </c>
      <c r="H12" s="40">
        <v>38</v>
      </c>
      <c r="I12" s="41">
        <v>31</v>
      </c>
      <c r="J12" s="42">
        <v>69</v>
      </c>
      <c r="K12" s="40">
        <v>25</v>
      </c>
      <c r="L12" s="41">
        <v>25</v>
      </c>
      <c r="M12" s="42">
        <v>50</v>
      </c>
      <c r="N12" s="41">
        <v>44</v>
      </c>
      <c r="O12" s="41">
        <v>45</v>
      </c>
      <c r="P12" s="41">
        <v>89</v>
      </c>
    </row>
    <row r="13" spans="1:18" ht="14.25">
      <c r="A13" s="50" t="s">
        <v>86</v>
      </c>
      <c r="B13" s="51">
        <v>1098</v>
      </c>
      <c r="C13" s="52">
        <v>692</v>
      </c>
      <c r="D13" s="53">
        <v>1790</v>
      </c>
      <c r="E13" s="51">
        <v>891</v>
      </c>
      <c r="F13" s="52">
        <v>557</v>
      </c>
      <c r="G13" s="53">
        <v>1448</v>
      </c>
      <c r="H13" s="51">
        <v>851</v>
      </c>
      <c r="I13" s="52">
        <v>695</v>
      </c>
      <c r="J13" s="53">
        <v>1546</v>
      </c>
      <c r="K13" s="51">
        <v>834</v>
      </c>
      <c r="L13" s="52">
        <v>653</v>
      </c>
      <c r="M13" s="53">
        <v>1487</v>
      </c>
      <c r="N13" s="52">
        <v>977</v>
      </c>
      <c r="O13" s="52">
        <v>532</v>
      </c>
      <c r="P13" s="52">
        <v>1509</v>
      </c>
    </row>
    <row r="14" spans="1:18" ht="14.25">
      <c r="A14" s="54" t="s">
        <v>236</v>
      </c>
      <c r="B14" s="40"/>
      <c r="C14" s="41"/>
      <c r="D14" s="42"/>
      <c r="E14" s="40"/>
      <c r="F14" s="41"/>
      <c r="G14" s="42"/>
      <c r="H14" s="40"/>
      <c r="I14" s="41"/>
      <c r="J14" s="42"/>
      <c r="K14" s="40"/>
      <c r="L14" s="41"/>
      <c r="M14" s="42"/>
      <c r="N14" s="41"/>
      <c r="O14" s="41"/>
      <c r="P14" s="41"/>
    </row>
    <row r="15" spans="1:18" ht="14.25">
      <c r="A15" s="39" t="s">
        <v>237</v>
      </c>
      <c r="B15" s="40">
        <v>96</v>
      </c>
      <c r="C15" s="41">
        <v>38</v>
      </c>
      <c r="D15" s="42">
        <v>134</v>
      </c>
      <c r="E15" s="40">
        <v>0</v>
      </c>
      <c r="F15" s="41">
        <v>0</v>
      </c>
      <c r="G15" s="42">
        <v>0</v>
      </c>
      <c r="H15" s="40">
        <v>104</v>
      </c>
      <c r="I15" s="41">
        <v>42</v>
      </c>
      <c r="J15" s="42">
        <v>146</v>
      </c>
      <c r="K15" s="40">
        <v>65</v>
      </c>
      <c r="L15" s="41">
        <v>28</v>
      </c>
      <c r="M15" s="42">
        <v>93</v>
      </c>
      <c r="N15" s="41">
        <v>72</v>
      </c>
      <c r="O15" s="41">
        <v>45</v>
      </c>
      <c r="P15" s="41">
        <v>117</v>
      </c>
      <c r="R15" s="346"/>
    </row>
    <row r="16" spans="1:18" ht="16.5">
      <c r="A16" s="39" t="s">
        <v>301</v>
      </c>
      <c r="B16" s="40">
        <v>55</v>
      </c>
      <c r="C16" s="41">
        <v>12</v>
      </c>
      <c r="D16" s="42">
        <v>67</v>
      </c>
      <c r="E16" s="40">
        <v>0</v>
      </c>
      <c r="F16" s="41">
        <v>0</v>
      </c>
      <c r="G16" s="42">
        <v>0</v>
      </c>
      <c r="H16" s="40">
        <v>107</v>
      </c>
      <c r="I16" s="41">
        <v>40</v>
      </c>
      <c r="J16" s="42">
        <v>147</v>
      </c>
      <c r="K16" s="40">
        <v>36</v>
      </c>
      <c r="L16" s="41">
        <v>12</v>
      </c>
      <c r="M16" s="42">
        <v>48</v>
      </c>
      <c r="N16" s="41">
        <v>45</v>
      </c>
      <c r="O16" s="41">
        <v>12</v>
      </c>
      <c r="P16" s="41">
        <v>57</v>
      </c>
      <c r="R16" s="346"/>
    </row>
    <row r="17" spans="1:16" ht="16.5">
      <c r="A17" s="39" t="s">
        <v>302</v>
      </c>
      <c r="B17" s="340" t="s">
        <v>299</v>
      </c>
      <c r="C17" s="341" t="s">
        <v>299</v>
      </c>
      <c r="D17" s="342" t="s">
        <v>299</v>
      </c>
      <c r="E17" s="343">
        <v>17</v>
      </c>
      <c r="F17" s="343">
        <v>8</v>
      </c>
      <c r="G17" s="344">
        <v>25</v>
      </c>
      <c r="H17" s="40">
        <v>25</v>
      </c>
      <c r="I17" s="41">
        <v>22</v>
      </c>
      <c r="J17" s="42">
        <v>47</v>
      </c>
      <c r="K17" s="40">
        <v>60</v>
      </c>
      <c r="L17" s="41">
        <v>33</v>
      </c>
      <c r="M17" s="42">
        <v>93</v>
      </c>
      <c r="N17" s="41">
        <v>90</v>
      </c>
      <c r="O17" s="41">
        <v>42</v>
      </c>
      <c r="P17" s="41">
        <v>132</v>
      </c>
    </row>
    <row r="18" spans="1:16" ht="16.5">
      <c r="A18" s="39" t="s">
        <v>303</v>
      </c>
      <c r="B18" s="340" t="s">
        <v>299</v>
      </c>
      <c r="C18" s="341" t="s">
        <v>299</v>
      </c>
      <c r="D18" s="342" t="s">
        <v>299</v>
      </c>
      <c r="E18" s="341" t="s">
        <v>300</v>
      </c>
      <c r="F18" s="341" t="s">
        <v>300</v>
      </c>
      <c r="G18" s="342" t="s">
        <v>300</v>
      </c>
      <c r="H18" s="341" t="s">
        <v>300</v>
      </c>
      <c r="I18" s="341" t="s">
        <v>300</v>
      </c>
      <c r="J18" s="342" t="s">
        <v>300</v>
      </c>
      <c r="K18" s="341" t="s">
        <v>300</v>
      </c>
      <c r="L18" s="341" t="s">
        <v>300</v>
      </c>
      <c r="M18" s="342" t="s">
        <v>300</v>
      </c>
      <c r="N18" s="41">
        <v>24</v>
      </c>
      <c r="O18" s="41">
        <v>8</v>
      </c>
      <c r="P18" s="41">
        <v>32</v>
      </c>
    </row>
    <row r="19" spans="1:16" ht="14.25">
      <c r="A19" s="50" t="s">
        <v>86</v>
      </c>
      <c r="B19" s="51">
        <v>151</v>
      </c>
      <c r="C19" s="52">
        <v>50</v>
      </c>
      <c r="D19" s="53">
        <v>201</v>
      </c>
      <c r="E19" s="51">
        <v>17</v>
      </c>
      <c r="F19" s="52">
        <v>8</v>
      </c>
      <c r="G19" s="53">
        <v>25</v>
      </c>
      <c r="H19" s="51">
        <v>236</v>
      </c>
      <c r="I19" s="52">
        <v>104</v>
      </c>
      <c r="J19" s="53">
        <v>340</v>
      </c>
      <c r="K19" s="60">
        <v>161</v>
      </c>
      <c r="L19" s="61">
        <v>73</v>
      </c>
      <c r="M19" s="53">
        <v>234</v>
      </c>
      <c r="N19" s="52">
        <v>117</v>
      </c>
      <c r="O19" s="52">
        <v>57</v>
      </c>
      <c r="P19" s="52">
        <v>306</v>
      </c>
    </row>
    <row r="20" spans="1:16" ht="14.25">
      <c r="A20" s="50" t="s">
        <v>312</v>
      </c>
      <c r="B20" s="51">
        <v>1286</v>
      </c>
      <c r="C20" s="52">
        <v>752</v>
      </c>
      <c r="D20" s="53">
        <v>2038</v>
      </c>
      <c r="E20" s="51">
        <v>1077</v>
      </c>
      <c r="F20" s="52">
        <v>629</v>
      </c>
      <c r="G20" s="53">
        <v>1706</v>
      </c>
      <c r="H20" s="51">
        <v>1087</v>
      </c>
      <c r="I20" s="52">
        <v>799</v>
      </c>
      <c r="J20" s="53">
        <v>1886</v>
      </c>
      <c r="K20" s="60">
        <v>1045</v>
      </c>
      <c r="L20" s="61">
        <v>742</v>
      </c>
      <c r="M20" s="53">
        <v>1787</v>
      </c>
      <c r="N20" s="52">
        <v>1103</v>
      </c>
      <c r="O20" s="52">
        <v>591</v>
      </c>
      <c r="P20" s="52">
        <v>1826</v>
      </c>
    </row>
    <row r="21" spans="1:16" ht="14.25">
      <c r="A21" s="54" t="s">
        <v>238</v>
      </c>
      <c r="B21" s="40"/>
      <c r="C21" s="41"/>
      <c r="D21" s="42"/>
      <c r="E21" s="40"/>
      <c r="F21" s="41"/>
      <c r="G21" s="42"/>
      <c r="H21" s="40"/>
      <c r="I21" s="41"/>
      <c r="J21" s="42"/>
      <c r="K21" s="40"/>
      <c r="L21" s="41"/>
      <c r="M21" s="42"/>
      <c r="N21" s="41"/>
      <c r="O21" s="41"/>
      <c r="P21" s="41"/>
    </row>
    <row r="22" spans="1:16" ht="14.25">
      <c r="A22" s="39" t="s">
        <v>235</v>
      </c>
      <c r="B22" s="40">
        <v>84</v>
      </c>
      <c r="C22" s="41">
        <v>62</v>
      </c>
      <c r="D22" s="42">
        <v>146</v>
      </c>
      <c r="E22" s="40">
        <v>0</v>
      </c>
      <c r="F22" s="41">
        <v>0</v>
      </c>
      <c r="G22" s="42">
        <v>0</v>
      </c>
      <c r="H22" s="40">
        <v>161</v>
      </c>
      <c r="I22" s="41">
        <v>168</v>
      </c>
      <c r="J22" s="42">
        <v>329</v>
      </c>
      <c r="K22" s="40">
        <v>106</v>
      </c>
      <c r="L22" s="41">
        <v>100</v>
      </c>
      <c r="M22" s="42">
        <v>206</v>
      </c>
      <c r="N22" s="41">
        <v>113</v>
      </c>
      <c r="O22" s="41">
        <v>141</v>
      </c>
      <c r="P22" s="41">
        <v>254</v>
      </c>
    </row>
    <row r="23" spans="1:16" ht="14.25">
      <c r="A23" s="43" t="s">
        <v>239</v>
      </c>
      <c r="B23" s="40"/>
      <c r="C23" s="41"/>
      <c r="D23" s="42"/>
      <c r="E23" s="40"/>
      <c r="F23" s="41"/>
      <c r="G23" s="42"/>
      <c r="H23" s="40"/>
      <c r="I23" s="41"/>
      <c r="J23" s="42"/>
      <c r="K23" s="40"/>
      <c r="L23" s="41"/>
      <c r="M23" s="42"/>
      <c r="N23" s="41"/>
      <c r="O23" s="41"/>
      <c r="P23" s="41"/>
    </row>
    <row r="24" spans="1:16" ht="14.25">
      <c r="A24" s="39" t="s">
        <v>237</v>
      </c>
      <c r="B24" s="40">
        <v>77</v>
      </c>
      <c r="C24" s="41">
        <v>28</v>
      </c>
      <c r="D24" s="42">
        <v>105</v>
      </c>
      <c r="E24" s="40">
        <v>0</v>
      </c>
      <c r="F24" s="41">
        <v>0</v>
      </c>
      <c r="G24" s="42">
        <v>0</v>
      </c>
      <c r="H24" s="40">
        <v>79</v>
      </c>
      <c r="I24" s="41">
        <v>31</v>
      </c>
      <c r="J24" s="42">
        <v>110</v>
      </c>
      <c r="K24" s="47">
        <v>134</v>
      </c>
      <c r="L24" s="48">
        <v>60</v>
      </c>
      <c r="M24" s="42">
        <v>194</v>
      </c>
      <c r="N24" s="41">
        <v>142</v>
      </c>
      <c r="O24" s="41">
        <v>72</v>
      </c>
      <c r="P24" s="41">
        <v>214</v>
      </c>
    </row>
    <row r="25" spans="1:16" ht="16.5">
      <c r="A25" s="39" t="s">
        <v>302</v>
      </c>
      <c r="B25" s="40">
        <v>50</v>
      </c>
      <c r="C25" s="41">
        <v>28</v>
      </c>
      <c r="D25" s="42">
        <v>78</v>
      </c>
      <c r="E25" s="40">
        <v>0</v>
      </c>
      <c r="F25" s="41">
        <v>0</v>
      </c>
      <c r="G25" s="42">
        <v>0</v>
      </c>
      <c r="H25" s="40">
        <v>129</v>
      </c>
      <c r="I25" s="41">
        <v>66</v>
      </c>
      <c r="J25" s="42">
        <v>195</v>
      </c>
      <c r="K25" s="47">
        <v>112</v>
      </c>
      <c r="L25" s="48">
        <v>68</v>
      </c>
      <c r="M25" s="42">
        <v>180</v>
      </c>
      <c r="N25" s="41">
        <v>74</v>
      </c>
      <c r="O25" s="41">
        <v>40</v>
      </c>
      <c r="P25" s="41">
        <v>114</v>
      </c>
    </row>
    <row r="26" spans="1:16" ht="16.5">
      <c r="A26" s="39" t="s">
        <v>304</v>
      </c>
      <c r="B26" s="40">
        <v>73</v>
      </c>
      <c r="C26" s="41">
        <v>35</v>
      </c>
      <c r="D26" s="42">
        <v>108</v>
      </c>
      <c r="E26" s="40">
        <v>0</v>
      </c>
      <c r="F26" s="41">
        <v>0</v>
      </c>
      <c r="G26" s="42">
        <v>0</v>
      </c>
      <c r="H26" s="40">
        <v>158</v>
      </c>
      <c r="I26" s="41">
        <v>57</v>
      </c>
      <c r="J26" s="42">
        <v>215</v>
      </c>
      <c r="K26" s="47">
        <v>75</v>
      </c>
      <c r="L26" s="48">
        <v>88</v>
      </c>
      <c r="M26" s="42">
        <v>163</v>
      </c>
      <c r="N26" s="41">
        <v>95</v>
      </c>
      <c r="O26" s="41">
        <v>54</v>
      </c>
      <c r="P26" s="41">
        <v>149</v>
      </c>
    </row>
    <row r="27" spans="1:16" ht="16.5">
      <c r="A27" s="39" t="s">
        <v>303</v>
      </c>
      <c r="B27" s="40" t="s">
        <v>300</v>
      </c>
      <c r="C27" s="41" t="s">
        <v>300</v>
      </c>
      <c r="D27" s="42" t="s">
        <v>300</v>
      </c>
      <c r="E27" s="40" t="s">
        <v>300</v>
      </c>
      <c r="F27" s="41" t="s">
        <v>300</v>
      </c>
      <c r="G27" s="42" t="s">
        <v>300</v>
      </c>
      <c r="H27" s="40" t="s">
        <v>300</v>
      </c>
      <c r="I27" s="41" t="s">
        <v>300</v>
      </c>
      <c r="J27" s="42" t="s">
        <v>300</v>
      </c>
      <c r="K27" s="40" t="s">
        <v>300</v>
      </c>
      <c r="L27" s="41" t="s">
        <v>300</v>
      </c>
      <c r="M27" s="42" t="s">
        <v>300</v>
      </c>
      <c r="N27" s="41">
        <v>27</v>
      </c>
      <c r="O27" s="41">
        <v>54</v>
      </c>
      <c r="P27" s="41">
        <v>81</v>
      </c>
    </row>
    <row r="28" spans="1:16" ht="14.25">
      <c r="A28" s="50" t="s">
        <v>86</v>
      </c>
      <c r="B28" s="51">
        <v>284</v>
      </c>
      <c r="C28" s="52">
        <v>153</v>
      </c>
      <c r="D28" s="53">
        <v>437</v>
      </c>
      <c r="E28" s="51">
        <v>0</v>
      </c>
      <c r="F28" s="52">
        <v>0</v>
      </c>
      <c r="G28" s="53">
        <v>0</v>
      </c>
      <c r="H28" s="51">
        <v>527</v>
      </c>
      <c r="I28" s="52">
        <v>322</v>
      </c>
      <c r="J28" s="53">
        <v>849</v>
      </c>
      <c r="K28" s="60">
        <v>427</v>
      </c>
      <c r="L28" s="61">
        <v>316</v>
      </c>
      <c r="M28" s="53">
        <v>743</v>
      </c>
      <c r="N28" s="52">
        <v>451</v>
      </c>
      <c r="O28" s="52">
        <v>361</v>
      </c>
      <c r="P28" s="52">
        <v>812</v>
      </c>
    </row>
    <row r="29" spans="1:16" ht="14.25">
      <c r="A29" s="43" t="s">
        <v>240</v>
      </c>
      <c r="B29" s="40"/>
      <c r="C29" s="41"/>
      <c r="D29" s="42"/>
      <c r="E29" s="40"/>
      <c r="F29" s="41"/>
      <c r="G29" s="42"/>
      <c r="H29" s="40"/>
      <c r="I29" s="41"/>
      <c r="J29" s="42"/>
      <c r="K29" s="47"/>
      <c r="L29" s="48"/>
      <c r="M29" s="42"/>
      <c r="N29" s="41"/>
      <c r="O29" s="41"/>
      <c r="P29" s="41"/>
    </row>
    <row r="30" spans="1:16" ht="14.25">
      <c r="A30" s="39" t="s">
        <v>241</v>
      </c>
      <c r="B30" s="40">
        <v>48</v>
      </c>
      <c r="C30" s="41">
        <v>45</v>
      </c>
      <c r="D30" s="42">
        <v>93</v>
      </c>
      <c r="E30" s="40">
        <v>1</v>
      </c>
      <c r="F30" s="41">
        <v>1</v>
      </c>
      <c r="G30" s="42">
        <v>2</v>
      </c>
      <c r="H30" s="40">
        <v>153</v>
      </c>
      <c r="I30" s="41">
        <v>150</v>
      </c>
      <c r="J30" s="42">
        <v>303</v>
      </c>
      <c r="K30" s="40">
        <v>144</v>
      </c>
      <c r="L30" s="41">
        <v>106</v>
      </c>
      <c r="M30" s="42">
        <v>250</v>
      </c>
      <c r="N30" s="41">
        <v>160</v>
      </c>
      <c r="O30" s="41">
        <v>172</v>
      </c>
      <c r="P30" s="41">
        <v>332</v>
      </c>
    </row>
    <row r="31" spans="1:16" ht="14.25">
      <c r="A31" s="39" t="s">
        <v>242</v>
      </c>
      <c r="B31" s="40">
        <v>72</v>
      </c>
      <c r="C31" s="41">
        <v>21</v>
      </c>
      <c r="D31" s="42">
        <v>93</v>
      </c>
      <c r="E31" s="40">
        <v>0</v>
      </c>
      <c r="F31" s="41">
        <v>0</v>
      </c>
      <c r="G31" s="42">
        <v>0</v>
      </c>
      <c r="H31" s="40">
        <v>67</v>
      </c>
      <c r="I31" s="41">
        <v>27</v>
      </c>
      <c r="J31" s="42">
        <v>94</v>
      </c>
      <c r="K31" s="40">
        <v>56</v>
      </c>
      <c r="L31" s="41">
        <v>40</v>
      </c>
      <c r="M31" s="42">
        <v>96</v>
      </c>
      <c r="N31" s="41">
        <v>98</v>
      </c>
      <c r="O31" s="41">
        <v>38</v>
      </c>
      <c r="P31" s="41">
        <v>136</v>
      </c>
    </row>
    <row r="32" spans="1:16" ht="14.25">
      <c r="A32" s="39" t="s">
        <v>243</v>
      </c>
      <c r="B32" s="40">
        <v>88</v>
      </c>
      <c r="C32" s="41">
        <v>25</v>
      </c>
      <c r="D32" s="42">
        <v>113</v>
      </c>
      <c r="E32" s="40">
        <v>26</v>
      </c>
      <c r="F32" s="41">
        <v>19</v>
      </c>
      <c r="G32" s="42">
        <v>45</v>
      </c>
      <c r="H32" s="40">
        <v>53</v>
      </c>
      <c r="I32" s="41">
        <v>16</v>
      </c>
      <c r="J32" s="42">
        <v>69</v>
      </c>
      <c r="K32" s="47">
        <v>61</v>
      </c>
      <c r="L32" s="48">
        <v>17</v>
      </c>
      <c r="M32" s="42">
        <v>78</v>
      </c>
      <c r="N32" s="41">
        <v>64</v>
      </c>
      <c r="O32" s="41">
        <v>10</v>
      </c>
      <c r="P32" s="41">
        <v>74</v>
      </c>
    </row>
    <row r="33" spans="1:16" ht="14.25">
      <c r="A33" s="55" t="s">
        <v>86</v>
      </c>
      <c r="B33" s="56">
        <v>208</v>
      </c>
      <c r="C33" s="57">
        <v>91</v>
      </c>
      <c r="D33" s="58">
        <v>299</v>
      </c>
      <c r="E33" s="56">
        <v>27</v>
      </c>
      <c r="F33" s="57">
        <v>20</v>
      </c>
      <c r="G33" s="58">
        <v>47</v>
      </c>
      <c r="H33" s="56">
        <v>273</v>
      </c>
      <c r="I33" s="57">
        <v>193</v>
      </c>
      <c r="J33" s="58">
        <v>466</v>
      </c>
      <c r="K33" s="56">
        <v>261</v>
      </c>
      <c r="L33" s="57">
        <v>163</v>
      </c>
      <c r="M33" s="58">
        <v>424</v>
      </c>
      <c r="N33" s="57">
        <v>322</v>
      </c>
      <c r="O33" s="57">
        <v>220</v>
      </c>
      <c r="P33" s="57">
        <v>542</v>
      </c>
    </row>
    <row r="34" spans="1:16" ht="14.25">
      <c r="A34" s="499" t="s">
        <v>244</v>
      </c>
      <c r="B34" s="499"/>
      <c r="C34" s="499"/>
      <c r="D34" s="499"/>
      <c r="E34" s="499"/>
      <c r="F34" s="499"/>
      <c r="G34" s="499"/>
      <c r="H34" s="30"/>
      <c r="I34" s="30"/>
      <c r="J34" s="62"/>
      <c r="K34" s="62"/>
      <c r="L34" s="63"/>
      <c r="M34" s="30"/>
    </row>
    <row r="35" spans="1:16" ht="14.25">
      <c r="A35" s="59" t="s">
        <v>245</v>
      </c>
      <c r="B35" s="30"/>
      <c r="C35" s="30"/>
      <c r="D35" s="30"/>
      <c r="E35" s="30"/>
      <c r="F35" s="30"/>
      <c r="G35" s="30"/>
      <c r="H35" s="30"/>
      <c r="I35" s="30"/>
      <c r="J35" s="62"/>
      <c r="K35" s="64"/>
      <c r="L35" s="64"/>
      <c r="M35" s="62"/>
    </row>
    <row r="36" spans="1:16" ht="14.25">
      <c r="A36" s="500" t="s">
        <v>305</v>
      </c>
      <c r="B36" s="501"/>
      <c r="C36" s="501"/>
      <c r="D36" s="501"/>
      <c r="E36" s="501"/>
      <c r="F36" s="501"/>
      <c r="G36" s="9"/>
      <c r="H36" s="9"/>
      <c r="I36" s="9"/>
      <c r="J36" s="9"/>
      <c r="K36" s="9"/>
      <c r="L36" s="9"/>
      <c r="M36" s="9"/>
    </row>
    <row r="37" spans="1:16" ht="13.5">
      <c r="A37" s="502" t="s">
        <v>306</v>
      </c>
      <c r="B37" s="503"/>
      <c r="C37" s="503"/>
      <c r="D37" s="503"/>
      <c r="E37" s="503"/>
      <c r="F37" s="503"/>
    </row>
    <row r="38" spans="1:16" ht="13.5">
      <c r="A38" s="502" t="s">
        <v>307</v>
      </c>
      <c r="B38" s="503"/>
      <c r="C38" s="503"/>
      <c r="D38" s="503"/>
      <c r="E38" s="503"/>
      <c r="F38" s="503"/>
    </row>
    <row r="39" spans="1:16" ht="13.5">
      <c r="A39" s="502" t="s">
        <v>308</v>
      </c>
      <c r="B39" s="503"/>
      <c r="C39" s="503"/>
      <c r="D39" s="503"/>
      <c r="E39" s="503"/>
      <c r="F39" s="503"/>
    </row>
  </sheetData>
  <mergeCells count="10">
    <mergeCell ref="B3:D3"/>
    <mergeCell ref="E3:G3"/>
    <mergeCell ref="H3:J3"/>
    <mergeCell ref="K3:M3"/>
    <mergeCell ref="N3:P3"/>
    <mergeCell ref="A34:G34"/>
    <mergeCell ref="A36:F36"/>
    <mergeCell ref="A37:F37"/>
    <mergeCell ref="A38:F38"/>
    <mergeCell ref="A39:F3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workbookViewId="0">
      <selection activeCell="I14" sqref="I14"/>
    </sheetView>
  </sheetViews>
  <sheetFormatPr defaultColWidth="9" defaultRowHeight="15"/>
  <cols>
    <col min="1" max="1" width="6.28515625" customWidth="1"/>
    <col min="2" max="2" width="35.28515625" customWidth="1"/>
    <col min="3" max="4" width="9" hidden="1" customWidth="1"/>
    <col min="5" max="8" width="10.140625" bestFit="1" customWidth="1"/>
    <col min="9" max="9" width="10.7109375" customWidth="1"/>
  </cols>
  <sheetData>
    <row r="1" spans="1:9" ht="15.75">
      <c r="A1" s="8" t="s">
        <v>375</v>
      </c>
      <c r="B1" s="9"/>
      <c r="C1" s="9"/>
      <c r="D1" s="9"/>
      <c r="E1" s="9"/>
      <c r="F1" s="9"/>
      <c r="G1" s="9"/>
      <c r="H1" s="9"/>
      <c r="I1" s="9"/>
    </row>
    <row r="2" spans="1:9" ht="15.75">
      <c r="A2" s="10"/>
      <c r="B2" s="11"/>
      <c r="C2" s="11"/>
      <c r="D2" s="11"/>
      <c r="E2" s="11"/>
      <c r="F2" s="9"/>
      <c r="G2" s="9"/>
      <c r="H2" s="27"/>
      <c r="I2" s="27" t="s">
        <v>193</v>
      </c>
    </row>
    <row r="3" spans="1:9" ht="15.75">
      <c r="A3" s="12"/>
      <c r="B3" s="13"/>
      <c r="C3" s="14">
        <v>2016</v>
      </c>
      <c r="D3" s="14">
        <v>2017</v>
      </c>
      <c r="E3" s="15">
        <v>2019</v>
      </c>
      <c r="F3" s="15">
        <v>2020</v>
      </c>
      <c r="G3" s="14">
        <v>2021</v>
      </c>
      <c r="H3" s="15">
        <v>2022</v>
      </c>
      <c r="I3" s="15" t="s">
        <v>14</v>
      </c>
    </row>
    <row r="4" spans="1:9" ht="15.75">
      <c r="A4" s="398" t="s">
        <v>358</v>
      </c>
      <c r="B4" s="17"/>
      <c r="C4" s="18"/>
      <c r="D4" s="18"/>
      <c r="E4" s="19"/>
      <c r="F4" s="28"/>
      <c r="G4" s="28"/>
      <c r="H4" s="28"/>
      <c r="I4" s="28"/>
    </row>
    <row r="5" spans="1:9" ht="15.75">
      <c r="A5" s="10"/>
      <c r="B5" s="20" t="s">
        <v>246</v>
      </c>
      <c r="C5" s="21">
        <v>659</v>
      </c>
      <c r="D5" s="21">
        <v>662</v>
      </c>
      <c r="E5" s="21">
        <v>659</v>
      </c>
      <c r="F5" s="21">
        <v>662</v>
      </c>
      <c r="G5" s="21">
        <v>673</v>
      </c>
      <c r="H5" s="21">
        <v>688</v>
      </c>
      <c r="I5" s="347">
        <v>718</v>
      </c>
    </row>
    <row r="6" spans="1:9" ht="15.75">
      <c r="A6" s="10"/>
      <c r="B6" s="20" t="s">
        <v>247</v>
      </c>
      <c r="C6" s="21">
        <v>211</v>
      </c>
      <c r="D6" s="21">
        <v>214</v>
      </c>
      <c r="E6" s="21">
        <v>211</v>
      </c>
      <c r="F6" s="21">
        <v>214</v>
      </c>
      <c r="G6" s="21">
        <v>217</v>
      </c>
      <c r="H6" s="21">
        <v>223</v>
      </c>
      <c r="I6" s="347">
        <v>231</v>
      </c>
    </row>
    <row r="7" spans="1:9" ht="15.75">
      <c r="A7" s="10"/>
      <c r="B7" s="20" t="s">
        <v>248</v>
      </c>
      <c r="C7" s="21">
        <v>150</v>
      </c>
      <c r="D7" s="21">
        <v>152</v>
      </c>
      <c r="E7" s="21">
        <v>150</v>
      </c>
      <c r="F7" s="21">
        <v>152</v>
      </c>
      <c r="G7" s="21">
        <v>152</v>
      </c>
      <c r="H7" s="21">
        <v>153</v>
      </c>
      <c r="I7" s="347">
        <v>154</v>
      </c>
    </row>
    <row r="8" spans="1:9" ht="15.75">
      <c r="A8" s="10"/>
      <c r="B8" s="20" t="s">
        <v>249</v>
      </c>
      <c r="C8" s="21">
        <v>62</v>
      </c>
      <c r="D8" s="21">
        <v>62</v>
      </c>
      <c r="E8" s="21">
        <v>62</v>
      </c>
      <c r="F8" s="21">
        <v>62</v>
      </c>
      <c r="G8" s="21">
        <v>66</v>
      </c>
      <c r="H8" s="21">
        <v>67</v>
      </c>
      <c r="I8" s="347">
        <v>70</v>
      </c>
    </row>
    <row r="9" spans="1:9" ht="15.75">
      <c r="A9" s="10"/>
      <c r="B9" s="20" t="s">
        <v>250</v>
      </c>
      <c r="C9" s="21">
        <v>639</v>
      </c>
      <c r="D9" s="21">
        <v>641</v>
      </c>
      <c r="E9" s="21">
        <v>639</v>
      </c>
      <c r="F9" s="21">
        <v>641</v>
      </c>
      <c r="G9" s="21">
        <v>670</v>
      </c>
      <c r="H9" s="21">
        <v>689</v>
      </c>
      <c r="I9" s="347">
        <v>770</v>
      </c>
    </row>
    <row r="10" spans="1:9" ht="15.75">
      <c r="A10" s="10"/>
      <c r="B10" s="20" t="s">
        <v>251</v>
      </c>
      <c r="C10" s="21">
        <v>2399</v>
      </c>
      <c r="D10" s="21">
        <v>2729</v>
      </c>
      <c r="E10" s="21">
        <v>2399</v>
      </c>
      <c r="F10" s="21">
        <v>2729</v>
      </c>
      <c r="G10" s="21">
        <v>2854</v>
      </c>
      <c r="H10" s="21">
        <v>2854</v>
      </c>
      <c r="I10" s="347">
        <v>2893</v>
      </c>
    </row>
    <row r="11" spans="1:9" ht="15.75">
      <c r="A11" s="10"/>
      <c r="B11" s="20" t="s">
        <v>252</v>
      </c>
      <c r="C11" s="21">
        <v>126</v>
      </c>
      <c r="D11" s="21">
        <v>126</v>
      </c>
      <c r="E11" s="21">
        <v>126</v>
      </c>
      <c r="F11" s="21">
        <v>126</v>
      </c>
      <c r="G11" s="21">
        <v>126</v>
      </c>
      <c r="H11" s="21">
        <v>126</v>
      </c>
      <c r="I11" s="347">
        <v>126</v>
      </c>
    </row>
    <row r="12" spans="1:9" ht="15.75">
      <c r="A12" s="10"/>
      <c r="B12" s="20" t="s">
        <v>253</v>
      </c>
      <c r="C12" s="21">
        <v>118</v>
      </c>
      <c r="D12" s="21">
        <v>118</v>
      </c>
      <c r="E12" s="21">
        <v>118</v>
      </c>
      <c r="F12" s="21">
        <v>118</v>
      </c>
      <c r="G12" s="21">
        <v>121</v>
      </c>
      <c r="H12" s="21">
        <v>123</v>
      </c>
      <c r="I12" s="347">
        <v>218</v>
      </c>
    </row>
    <row r="13" spans="1:9" ht="15.75">
      <c r="A13" s="10"/>
      <c r="B13" s="20" t="s">
        <v>254</v>
      </c>
      <c r="C13" s="21">
        <v>1983</v>
      </c>
      <c r="D13" s="21">
        <v>2757</v>
      </c>
      <c r="E13" s="21">
        <v>1983</v>
      </c>
      <c r="F13" s="21">
        <v>2757</v>
      </c>
      <c r="G13" s="21">
        <v>2850</v>
      </c>
      <c r="H13" s="21">
        <v>2975</v>
      </c>
      <c r="I13" s="347">
        <v>3280</v>
      </c>
    </row>
    <row r="14" spans="1:9" ht="15.75">
      <c r="A14" s="10"/>
      <c r="B14" s="22" t="s">
        <v>255</v>
      </c>
      <c r="C14" s="23">
        <v>6347</v>
      </c>
      <c r="D14" s="24">
        <v>7461</v>
      </c>
      <c r="E14" s="23">
        <v>6347</v>
      </c>
      <c r="F14" s="24">
        <v>7461</v>
      </c>
      <c r="G14" s="24">
        <v>7729</v>
      </c>
      <c r="H14" s="24">
        <v>7898</v>
      </c>
      <c r="I14" s="348">
        <v>8460</v>
      </c>
    </row>
    <row r="15" spans="1:9" ht="15.75">
      <c r="A15" s="397" t="s">
        <v>359</v>
      </c>
      <c r="B15" s="25"/>
      <c r="C15" s="24"/>
      <c r="D15" s="24"/>
      <c r="E15" s="24"/>
      <c r="F15" s="24"/>
      <c r="G15" s="21"/>
      <c r="H15" s="21"/>
      <c r="I15" s="347"/>
    </row>
    <row r="16" spans="1:9" ht="15.75">
      <c r="A16" s="10"/>
      <c r="B16" s="20" t="s">
        <v>256</v>
      </c>
      <c r="C16" s="21">
        <v>10463</v>
      </c>
      <c r="D16" s="21">
        <v>11723</v>
      </c>
      <c r="E16" s="21">
        <v>10463</v>
      </c>
      <c r="F16" s="21">
        <v>11723</v>
      </c>
      <c r="G16" s="21">
        <v>11798</v>
      </c>
      <c r="H16" s="21">
        <v>12291</v>
      </c>
      <c r="I16" s="347">
        <v>13511</v>
      </c>
    </row>
    <row r="17" spans="1:9" ht="15.75">
      <c r="A17" s="10"/>
      <c r="B17" s="20" t="s">
        <v>257</v>
      </c>
      <c r="C17" s="21">
        <v>4091</v>
      </c>
      <c r="D17" s="21">
        <v>6342</v>
      </c>
      <c r="E17" s="21">
        <v>4091</v>
      </c>
      <c r="F17" s="21">
        <v>6342</v>
      </c>
      <c r="G17" s="21">
        <v>6355</v>
      </c>
      <c r="H17" s="21">
        <v>6358</v>
      </c>
      <c r="I17" s="347">
        <v>6604</v>
      </c>
    </row>
    <row r="18" spans="1:9" ht="15.75">
      <c r="A18" s="10"/>
      <c r="B18" s="402" t="s">
        <v>360</v>
      </c>
      <c r="C18" s="23">
        <v>14554</v>
      </c>
      <c r="D18" s="24">
        <v>18065</v>
      </c>
      <c r="E18" s="23">
        <v>14554</v>
      </c>
      <c r="F18" s="24">
        <v>18065</v>
      </c>
      <c r="G18" s="349">
        <v>18153</v>
      </c>
      <c r="H18" s="349">
        <v>18946</v>
      </c>
      <c r="I18" s="348">
        <v>20115</v>
      </c>
    </row>
    <row r="19" spans="1:9" ht="15.75">
      <c r="A19" s="509" t="s">
        <v>207</v>
      </c>
      <c r="B19" s="510"/>
      <c r="C19" s="23">
        <v>21002</v>
      </c>
      <c r="D19" s="24">
        <v>25627</v>
      </c>
      <c r="E19" s="23">
        <v>20901</v>
      </c>
      <c r="F19" s="23">
        <v>25526</v>
      </c>
      <c r="G19" s="23">
        <v>25882</v>
      </c>
      <c r="H19" s="23">
        <v>26844</v>
      </c>
      <c r="I19" s="24">
        <v>28575</v>
      </c>
    </row>
    <row r="20" spans="1:9" ht="15.75">
      <c r="A20" s="507" t="s">
        <v>258</v>
      </c>
      <c r="B20" s="508"/>
      <c r="C20" s="399">
        <v>101</v>
      </c>
      <c r="D20" s="399">
        <v>101</v>
      </c>
      <c r="E20" s="400">
        <v>101</v>
      </c>
      <c r="F20" s="400">
        <v>101</v>
      </c>
      <c r="G20" s="400">
        <v>102</v>
      </c>
      <c r="H20" s="400">
        <v>104</v>
      </c>
      <c r="I20" s="401">
        <v>104</v>
      </c>
    </row>
    <row r="21" spans="1:9" ht="29.25" customHeight="1">
      <c r="A21" s="511" t="s">
        <v>259</v>
      </c>
      <c r="B21" s="511"/>
      <c r="C21" s="511"/>
      <c r="D21" s="511"/>
      <c r="E21" s="511"/>
      <c r="F21" s="511"/>
      <c r="G21" s="511"/>
      <c r="H21" s="511"/>
      <c r="I21" s="511"/>
    </row>
    <row r="22" spans="1:9" ht="15.75">
      <c r="A22" s="11" t="s">
        <v>10</v>
      </c>
      <c r="B22" s="10"/>
      <c r="C22" s="26"/>
      <c r="D22" s="26"/>
      <c r="E22" s="26"/>
      <c r="F22" s="9"/>
      <c r="G22" s="9"/>
      <c r="H22" s="9"/>
      <c r="I22" s="9"/>
    </row>
  </sheetData>
  <mergeCells count="3">
    <mergeCell ref="A20:B20"/>
    <mergeCell ref="A19:B19"/>
    <mergeCell ref="A21:I2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showGridLines="0" zoomScaleNormal="100" workbookViewId="0">
      <selection activeCell="A2" sqref="A2:XFD3"/>
    </sheetView>
  </sheetViews>
  <sheetFormatPr defaultColWidth="9" defaultRowHeight="15"/>
  <cols>
    <col min="1" max="1" width="13" customWidth="1"/>
    <col min="3" max="10" width="10.7109375" customWidth="1"/>
  </cols>
  <sheetData>
    <row r="1" spans="1:9" ht="15.75">
      <c r="A1" s="428" t="s">
        <v>376</v>
      </c>
    </row>
    <row r="4" spans="1:9" ht="15.75">
      <c r="A4" s="512" t="s">
        <v>105</v>
      </c>
      <c r="B4" s="514">
        <v>2022</v>
      </c>
      <c r="C4" s="515"/>
      <c r="D4" s="515"/>
      <c r="E4" s="515"/>
      <c r="F4" s="514">
        <v>2023</v>
      </c>
      <c r="G4" s="515"/>
      <c r="H4" s="515"/>
      <c r="I4" s="515"/>
    </row>
    <row r="5" spans="1:9" ht="57">
      <c r="A5" s="513"/>
      <c r="B5" s="350" t="s">
        <v>313</v>
      </c>
      <c r="C5" s="350" t="s">
        <v>314</v>
      </c>
      <c r="D5" s="350" t="s">
        <v>315</v>
      </c>
      <c r="E5" s="350" t="s">
        <v>316</v>
      </c>
      <c r="F5" s="351" t="s">
        <v>317</v>
      </c>
      <c r="G5" s="351" t="s">
        <v>318</v>
      </c>
      <c r="H5" s="350" t="s">
        <v>315</v>
      </c>
      <c r="I5" s="352" t="s">
        <v>316</v>
      </c>
    </row>
    <row r="6" spans="1:9" ht="15.75">
      <c r="A6" s="353" t="s">
        <v>319</v>
      </c>
      <c r="B6" s="354">
        <v>71800</v>
      </c>
      <c r="C6" s="354">
        <v>2052.6</v>
      </c>
      <c r="D6" s="355">
        <v>1337.51</v>
      </c>
      <c r="E6" s="354">
        <v>27453.8</v>
      </c>
      <c r="F6" s="356">
        <v>79246</v>
      </c>
      <c r="G6" s="356">
        <v>2906.9</v>
      </c>
      <c r="H6" s="355">
        <v>1366.6</v>
      </c>
      <c r="I6" s="357">
        <v>39726</v>
      </c>
    </row>
    <row r="7" spans="1:9" ht="15.75">
      <c r="A7" s="358" t="s">
        <v>320</v>
      </c>
      <c r="B7" s="359">
        <v>72247</v>
      </c>
      <c r="C7" s="359">
        <v>1087.3</v>
      </c>
      <c r="D7" s="355">
        <v>3421.8</v>
      </c>
      <c r="E7" s="359">
        <v>37203.5</v>
      </c>
      <c r="F7" s="359">
        <v>76012.399999999994</v>
      </c>
      <c r="G7" s="359">
        <v>1187.8</v>
      </c>
      <c r="H7" s="355">
        <v>3256.92</v>
      </c>
      <c r="I7" s="360">
        <v>38685.300000000003</v>
      </c>
    </row>
    <row r="8" spans="1:9" ht="15.75">
      <c r="A8" s="353" t="s">
        <v>321</v>
      </c>
      <c r="B8" s="354">
        <v>28331</v>
      </c>
      <c r="C8" s="354">
        <v>616.6</v>
      </c>
      <c r="D8" s="355">
        <v>3652.46</v>
      </c>
      <c r="E8" s="354">
        <v>22521.7</v>
      </c>
      <c r="F8" s="356">
        <v>31071.7</v>
      </c>
      <c r="G8" s="356">
        <v>582.5</v>
      </c>
      <c r="H8" s="355">
        <v>4351.93</v>
      </c>
      <c r="I8" s="361">
        <v>25352</v>
      </c>
    </row>
    <row r="9" spans="1:9" ht="15.75">
      <c r="A9" s="353" t="s">
        <v>322</v>
      </c>
      <c r="B9" s="354">
        <v>25669</v>
      </c>
      <c r="C9" s="354">
        <v>441.6</v>
      </c>
      <c r="D9" s="355">
        <v>2852.1</v>
      </c>
      <c r="E9" s="354">
        <v>12594.7</v>
      </c>
      <c r="F9" s="356">
        <v>33428</v>
      </c>
      <c r="G9" s="356">
        <v>805.5</v>
      </c>
      <c r="H9" s="355">
        <v>2993.58</v>
      </c>
      <c r="I9" s="361">
        <v>24111.9</v>
      </c>
    </row>
    <row r="10" spans="1:9" ht="15.75">
      <c r="A10" s="353" t="s">
        <v>323</v>
      </c>
      <c r="B10" s="362">
        <v>66235</v>
      </c>
      <c r="C10" s="362">
        <v>758.4</v>
      </c>
      <c r="D10" s="355">
        <v>1795.19</v>
      </c>
      <c r="E10" s="362">
        <v>13614.2</v>
      </c>
      <c r="F10" s="362">
        <v>76790</v>
      </c>
      <c r="G10" s="362">
        <v>909.9</v>
      </c>
      <c r="H10" s="355">
        <v>2560.2800000000002</v>
      </c>
      <c r="I10" s="363">
        <v>23296.5</v>
      </c>
    </row>
    <row r="11" spans="1:9" ht="15.75">
      <c r="A11" s="353" t="s">
        <v>324</v>
      </c>
      <c r="B11" s="354">
        <v>38586</v>
      </c>
      <c r="C11" s="354">
        <v>609.29999999999995</v>
      </c>
      <c r="D11" s="355">
        <v>2199.0500000000002</v>
      </c>
      <c r="E11" s="354">
        <v>13398.2</v>
      </c>
      <c r="F11" s="356">
        <v>47580.3</v>
      </c>
      <c r="G11" s="356">
        <v>786.2</v>
      </c>
      <c r="H11" s="355">
        <v>2697.17</v>
      </c>
      <c r="I11" s="361">
        <v>21205.200000000001</v>
      </c>
    </row>
    <row r="12" spans="1:9" ht="15.75">
      <c r="A12" s="353" t="s">
        <v>325</v>
      </c>
      <c r="B12" s="362">
        <v>48849.5</v>
      </c>
      <c r="C12" s="362">
        <v>597.9</v>
      </c>
      <c r="D12" s="355">
        <v>3534.89</v>
      </c>
      <c r="E12" s="362">
        <v>21134.5</v>
      </c>
      <c r="F12" s="362">
        <v>54423.1</v>
      </c>
      <c r="G12" s="362">
        <v>669.1</v>
      </c>
      <c r="H12" s="355">
        <v>3159.54</v>
      </c>
      <c r="I12" s="363">
        <v>21142</v>
      </c>
    </row>
    <row r="13" spans="1:9" ht="15.75">
      <c r="A13" s="353" t="s">
        <v>326</v>
      </c>
      <c r="B13" s="354">
        <v>34848</v>
      </c>
      <c r="C13" s="354">
        <v>1382.1</v>
      </c>
      <c r="D13" s="355">
        <v>1147.3499999999999</v>
      </c>
      <c r="E13" s="354">
        <v>15857.2</v>
      </c>
      <c r="F13" s="356">
        <v>31771.4</v>
      </c>
      <c r="G13" s="356">
        <v>1042.8</v>
      </c>
      <c r="H13" s="355">
        <v>1676.59</v>
      </c>
      <c r="I13" s="361">
        <v>17484</v>
      </c>
    </row>
    <row r="14" spans="1:9" ht="15.75">
      <c r="A14" s="353" t="s">
        <v>327</v>
      </c>
      <c r="B14" s="354">
        <v>7862</v>
      </c>
      <c r="C14" s="354">
        <v>126.5</v>
      </c>
      <c r="D14" s="355">
        <v>4188.72</v>
      </c>
      <c r="E14" s="354">
        <v>5300.2</v>
      </c>
      <c r="F14" s="356">
        <v>7386</v>
      </c>
      <c r="G14" s="356">
        <v>125.3</v>
      </c>
      <c r="H14" s="355">
        <v>8385.24</v>
      </c>
      <c r="I14" s="361">
        <v>10510.2</v>
      </c>
    </row>
    <row r="15" spans="1:9" ht="15.75">
      <c r="A15" s="353" t="s">
        <v>328</v>
      </c>
      <c r="B15" s="362">
        <v>73286</v>
      </c>
      <c r="C15" s="362">
        <v>71.7</v>
      </c>
      <c r="D15" s="355">
        <v>11480.98</v>
      </c>
      <c r="E15" s="362">
        <v>8234.4</v>
      </c>
      <c r="F15" s="362">
        <v>73991</v>
      </c>
      <c r="G15" s="362">
        <v>81.7</v>
      </c>
      <c r="H15" s="355">
        <v>11479.09</v>
      </c>
      <c r="I15" s="363">
        <v>9374.6</v>
      </c>
    </row>
    <row r="16" spans="1:9" ht="15.75">
      <c r="A16" s="353" t="s">
        <v>329</v>
      </c>
      <c r="B16" s="354">
        <v>30059</v>
      </c>
      <c r="C16" s="354">
        <v>187.4</v>
      </c>
      <c r="D16" s="355">
        <v>4895.83</v>
      </c>
      <c r="E16" s="354">
        <v>9174.6</v>
      </c>
      <c r="F16" s="356">
        <v>25288.2</v>
      </c>
      <c r="G16" s="356">
        <v>357.4</v>
      </c>
      <c r="H16" s="355">
        <v>2253.46</v>
      </c>
      <c r="I16" s="361">
        <v>8054.5</v>
      </c>
    </row>
    <row r="17" spans="1:9" ht="15.75">
      <c r="A17" s="353" t="s">
        <v>330</v>
      </c>
      <c r="B17" s="362">
        <v>18083</v>
      </c>
      <c r="C17" s="362">
        <v>337.5</v>
      </c>
      <c r="D17" s="355">
        <v>2791.2</v>
      </c>
      <c r="E17" s="362">
        <v>9420.2999999999993</v>
      </c>
      <c r="F17" s="362">
        <v>11413</v>
      </c>
      <c r="G17" s="362">
        <v>489.7</v>
      </c>
      <c r="H17" s="355">
        <v>1420.36</v>
      </c>
      <c r="I17" s="363">
        <v>6955.5</v>
      </c>
    </row>
    <row r="18" spans="1:9" ht="15.75">
      <c r="A18" s="353" t="s">
        <v>331</v>
      </c>
      <c r="B18" s="362">
        <v>147208.1</v>
      </c>
      <c r="C18" s="362">
        <v>96.1</v>
      </c>
      <c r="D18" s="355">
        <v>7650.91</v>
      </c>
      <c r="E18" s="362">
        <v>7356</v>
      </c>
      <c r="F18" s="362">
        <v>153123.1</v>
      </c>
      <c r="G18" s="362">
        <v>92.1</v>
      </c>
      <c r="H18" s="355">
        <v>6234.02</v>
      </c>
      <c r="I18" s="363">
        <v>5739.1</v>
      </c>
    </row>
    <row r="19" spans="1:9" ht="15.75">
      <c r="A19" s="353" t="s">
        <v>332</v>
      </c>
      <c r="B19" s="362">
        <v>8628</v>
      </c>
      <c r="C19" s="362">
        <v>252.7</v>
      </c>
      <c r="D19" s="355">
        <v>3868.12</v>
      </c>
      <c r="E19" s="362">
        <v>9774.9</v>
      </c>
      <c r="F19" s="362">
        <v>4706</v>
      </c>
      <c r="G19" s="362">
        <v>97.4</v>
      </c>
      <c r="H19" s="355">
        <v>3397.59</v>
      </c>
      <c r="I19" s="363">
        <v>3308.1</v>
      </c>
    </row>
    <row r="20" spans="1:9" ht="15.75">
      <c r="A20" s="353" t="s">
        <v>333</v>
      </c>
      <c r="B20" s="362">
        <v>21546.3</v>
      </c>
      <c r="C20" s="362">
        <v>27.9</v>
      </c>
      <c r="D20" s="355">
        <v>12451.71</v>
      </c>
      <c r="E20" s="362">
        <v>3479.5</v>
      </c>
      <c r="F20" s="362">
        <v>20924.3</v>
      </c>
      <c r="G20" s="362">
        <v>24</v>
      </c>
      <c r="H20" s="355">
        <v>13401.81</v>
      </c>
      <c r="I20" s="363">
        <v>3212.8</v>
      </c>
    </row>
    <row r="21" spans="1:9" ht="15.75">
      <c r="A21" s="353" t="s">
        <v>334</v>
      </c>
      <c r="B21" s="362">
        <v>3473</v>
      </c>
      <c r="C21" s="362">
        <v>37.4</v>
      </c>
      <c r="D21" s="355">
        <v>5882.97</v>
      </c>
      <c r="E21" s="362">
        <v>2198.1999999999998</v>
      </c>
      <c r="F21" s="362">
        <v>3831</v>
      </c>
      <c r="G21" s="362">
        <v>39.6</v>
      </c>
      <c r="H21" s="355">
        <v>7305.62</v>
      </c>
      <c r="I21" s="363">
        <v>2894.9</v>
      </c>
    </row>
    <row r="22" spans="1:9" ht="15.75">
      <c r="A22" s="353" t="s">
        <v>335</v>
      </c>
      <c r="B22" s="362">
        <v>8747</v>
      </c>
      <c r="C22" s="362">
        <v>40.9</v>
      </c>
      <c r="D22" s="355">
        <v>6816.13</v>
      </c>
      <c r="E22" s="362">
        <v>2788</v>
      </c>
      <c r="F22" s="362">
        <v>8826</v>
      </c>
      <c r="G22" s="362">
        <v>44.4</v>
      </c>
      <c r="H22" s="355">
        <v>5999.82</v>
      </c>
      <c r="I22" s="363">
        <v>2661.8</v>
      </c>
    </row>
    <row r="23" spans="1:9" ht="15.75">
      <c r="A23" s="353" t="s">
        <v>336</v>
      </c>
      <c r="B23" s="354">
        <v>26077</v>
      </c>
      <c r="C23" s="354">
        <v>101.8</v>
      </c>
      <c r="D23" s="355">
        <v>2670.98</v>
      </c>
      <c r="E23" s="354">
        <v>2718.6</v>
      </c>
      <c r="F23" s="356">
        <v>24186.3</v>
      </c>
      <c r="G23" s="356">
        <v>95.2</v>
      </c>
      <c r="H23" s="355">
        <v>2721.78</v>
      </c>
      <c r="I23" s="361">
        <v>2590.6</v>
      </c>
    </row>
    <row r="24" spans="1:9" ht="15.75">
      <c r="A24" s="353" t="s">
        <v>337</v>
      </c>
      <c r="B24" s="354">
        <v>2791</v>
      </c>
      <c r="C24" s="354">
        <v>31.9</v>
      </c>
      <c r="D24" s="355">
        <v>3205.47</v>
      </c>
      <c r="E24" s="354">
        <v>1023.9</v>
      </c>
      <c r="F24" s="356">
        <v>3670</v>
      </c>
      <c r="G24" s="356">
        <v>37.799999999999997</v>
      </c>
      <c r="H24" s="355">
        <v>6158.46</v>
      </c>
      <c r="I24" s="361">
        <v>2328.9</v>
      </c>
    </row>
    <row r="25" spans="1:9" ht="15.75">
      <c r="A25" s="353" t="s">
        <v>338</v>
      </c>
      <c r="B25" s="362">
        <v>56474.1</v>
      </c>
      <c r="C25" s="362">
        <v>67.2</v>
      </c>
      <c r="D25" s="355">
        <v>7177.9</v>
      </c>
      <c r="E25" s="362">
        <v>4825.8</v>
      </c>
      <c r="F25" s="362">
        <v>26299.5</v>
      </c>
      <c r="G25" s="362">
        <v>19.3</v>
      </c>
      <c r="H25" s="355">
        <v>10104.969999999999</v>
      </c>
      <c r="I25" s="363">
        <v>1952.2</v>
      </c>
    </row>
    <row r="26" spans="1:9" ht="15.75">
      <c r="A26" s="353" t="s">
        <v>339</v>
      </c>
      <c r="B26" s="362">
        <v>4381</v>
      </c>
      <c r="C26" s="362">
        <v>14.6</v>
      </c>
      <c r="D26" s="355">
        <v>5557.46</v>
      </c>
      <c r="E26" s="362">
        <v>811</v>
      </c>
      <c r="F26" s="362">
        <v>4509</v>
      </c>
      <c r="G26" s="362">
        <v>14.6</v>
      </c>
      <c r="H26" s="355">
        <v>8292.82</v>
      </c>
      <c r="I26" s="363">
        <v>1211</v>
      </c>
    </row>
    <row r="27" spans="1:9" ht="15.75">
      <c r="A27" s="353" t="s">
        <v>340</v>
      </c>
      <c r="B27" s="362">
        <v>5960.8</v>
      </c>
      <c r="C27" s="362">
        <v>8.1999999999999993</v>
      </c>
      <c r="D27" s="355">
        <v>7472.56</v>
      </c>
      <c r="E27" s="362">
        <v>610</v>
      </c>
      <c r="F27" s="362">
        <v>11312.7</v>
      </c>
      <c r="G27" s="362">
        <v>10.1</v>
      </c>
      <c r="H27" s="355">
        <v>7208.67</v>
      </c>
      <c r="I27" s="363">
        <v>730</v>
      </c>
    </row>
    <row r="28" spans="1:9" ht="15.75">
      <c r="A28" s="353" t="s">
        <v>341</v>
      </c>
      <c r="B28" s="362">
        <v>23060</v>
      </c>
      <c r="C28" s="362">
        <v>8.3000000000000007</v>
      </c>
      <c r="D28" s="355">
        <v>5000.6000000000004</v>
      </c>
      <c r="E28" s="362">
        <v>416.7</v>
      </c>
      <c r="F28" s="362">
        <v>24437</v>
      </c>
      <c r="G28" s="362">
        <v>9</v>
      </c>
      <c r="H28" s="355">
        <v>5019.67</v>
      </c>
      <c r="I28" s="363">
        <v>451.6</v>
      </c>
    </row>
    <row r="29" spans="1:9" ht="28.5">
      <c r="A29" s="353" t="s">
        <v>342</v>
      </c>
      <c r="B29" s="362">
        <v>354</v>
      </c>
      <c r="C29" s="362">
        <v>1.5</v>
      </c>
      <c r="D29" s="355">
        <v>5657.45</v>
      </c>
      <c r="E29" s="362">
        <v>83.9</v>
      </c>
      <c r="F29" s="362">
        <v>444.9</v>
      </c>
      <c r="G29" s="362">
        <v>6.1</v>
      </c>
      <c r="H29" s="355">
        <v>5211.45</v>
      </c>
      <c r="I29" s="363">
        <v>319.89999999999998</v>
      </c>
    </row>
    <row r="30" spans="1:9" ht="15.75">
      <c r="A30" s="364" t="s">
        <v>343</v>
      </c>
      <c r="B30" s="365">
        <v>2612.6999999999998</v>
      </c>
      <c r="C30" s="365">
        <v>3.7</v>
      </c>
      <c r="D30" s="366">
        <v>3954.48</v>
      </c>
      <c r="E30" s="365">
        <v>147.9</v>
      </c>
      <c r="F30" s="365">
        <v>3339.5</v>
      </c>
      <c r="G30" s="365">
        <v>3.6</v>
      </c>
      <c r="H30" s="367">
        <v>4718.71</v>
      </c>
      <c r="I30" s="368">
        <v>172</v>
      </c>
    </row>
  </sheetData>
  <mergeCells count="3">
    <mergeCell ref="A4:A5"/>
    <mergeCell ref="B4:E4"/>
    <mergeCell ref="F4:I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showGridLines="0" workbookViewId="0">
      <selection activeCell="G2" sqref="G2"/>
    </sheetView>
  </sheetViews>
  <sheetFormatPr defaultRowHeight="15"/>
  <cols>
    <col min="1" max="1" width="52.28515625" customWidth="1"/>
    <col min="2" max="2" width="12.28515625" customWidth="1"/>
    <col min="3" max="7" width="10.42578125" bestFit="1" customWidth="1"/>
  </cols>
  <sheetData>
    <row r="1" spans="1:7" ht="15.75">
      <c r="A1" s="428" t="s">
        <v>377</v>
      </c>
    </row>
    <row r="3" spans="1:7" ht="16.5">
      <c r="A3" s="369" t="s">
        <v>344</v>
      </c>
      <c r="B3" s="370" t="s">
        <v>66</v>
      </c>
      <c r="C3" s="370">
        <v>2019</v>
      </c>
      <c r="D3" s="370">
        <v>2020</v>
      </c>
      <c r="E3" s="370">
        <v>2021</v>
      </c>
      <c r="F3" s="370">
        <v>2022</v>
      </c>
      <c r="G3" s="371" t="s">
        <v>14</v>
      </c>
    </row>
    <row r="4" spans="1:7" ht="16.5">
      <c r="A4" s="372" t="s">
        <v>378</v>
      </c>
      <c r="B4" s="373" t="s">
        <v>345</v>
      </c>
      <c r="C4" s="374">
        <v>1902</v>
      </c>
      <c r="D4" s="374">
        <v>1242</v>
      </c>
      <c r="E4" s="374">
        <v>1301</v>
      </c>
      <c r="F4" s="374">
        <v>1322</v>
      </c>
      <c r="G4" s="375">
        <v>1303</v>
      </c>
    </row>
    <row r="5" spans="1:7" ht="16.5">
      <c r="A5" s="376" t="s">
        <v>346</v>
      </c>
      <c r="B5" s="377" t="s">
        <v>347</v>
      </c>
      <c r="C5" s="378">
        <v>147840</v>
      </c>
      <c r="D5" s="378">
        <v>149762</v>
      </c>
      <c r="E5" s="378">
        <v>150816</v>
      </c>
      <c r="F5" s="378">
        <v>153774</v>
      </c>
      <c r="G5" s="379">
        <v>157558</v>
      </c>
    </row>
    <row r="6" spans="1:7" ht="16.5">
      <c r="A6" s="380" t="s">
        <v>379</v>
      </c>
      <c r="B6" s="377" t="s">
        <v>348</v>
      </c>
      <c r="C6" s="378">
        <v>281191.7</v>
      </c>
      <c r="D6" s="378">
        <v>186004.4</v>
      </c>
      <c r="E6" s="378">
        <v>196211.6</v>
      </c>
      <c r="F6" s="378">
        <v>203289.2</v>
      </c>
      <c r="G6" s="379">
        <v>205298.1</v>
      </c>
    </row>
    <row r="7" spans="1:7" ht="16.5">
      <c r="A7" s="380" t="s">
        <v>380</v>
      </c>
      <c r="B7" s="377" t="s">
        <v>381</v>
      </c>
      <c r="C7" s="378">
        <v>3983.3</v>
      </c>
      <c r="D7" s="378">
        <v>4048.1</v>
      </c>
      <c r="E7" s="378">
        <v>4640.8999999999996</v>
      </c>
      <c r="F7" s="378">
        <v>4604.3</v>
      </c>
      <c r="G7" s="379">
        <v>4568.6000000000004</v>
      </c>
    </row>
    <row r="8" spans="1:7" ht="16.5">
      <c r="A8" s="380" t="s">
        <v>382</v>
      </c>
      <c r="B8" s="377" t="s">
        <v>345</v>
      </c>
      <c r="C8" s="434">
        <v>4</v>
      </c>
      <c r="D8" s="434">
        <v>4</v>
      </c>
      <c r="E8" s="434">
        <v>4</v>
      </c>
      <c r="F8" s="434">
        <v>6</v>
      </c>
      <c r="G8" s="435">
        <v>7</v>
      </c>
    </row>
    <row r="9" spans="1:7" ht="16.5">
      <c r="A9" s="376" t="s">
        <v>352</v>
      </c>
      <c r="B9" s="377" t="s">
        <v>353</v>
      </c>
      <c r="C9" s="383">
        <v>107</v>
      </c>
      <c r="D9" s="383">
        <v>116.7</v>
      </c>
      <c r="E9" s="383">
        <v>126.6</v>
      </c>
      <c r="F9" s="383">
        <v>143.30000000000001</v>
      </c>
      <c r="G9" s="384">
        <v>157.1</v>
      </c>
    </row>
    <row r="10" spans="1:7" ht="16.5">
      <c r="A10" s="376" t="s">
        <v>354</v>
      </c>
      <c r="B10" s="377" t="s">
        <v>353</v>
      </c>
      <c r="C10" s="381">
        <v>99.8</v>
      </c>
      <c r="D10" s="381">
        <v>100.5</v>
      </c>
      <c r="E10" s="381">
        <v>98.5</v>
      </c>
      <c r="F10" s="381">
        <v>100.1</v>
      </c>
      <c r="G10" s="382">
        <v>98</v>
      </c>
    </row>
    <row r="11" spans="1:7" ht="16.5">
      <c r="A11" s="385" t="s">
        <v>355</v>
      </c>
      <c r="B11" s="386" t="s">
        <v>353</v>
      </c>
      <c r="C11" s="387">
        <v>0.10299999999999999</v>
      </c>
      <c r="D11" s="387">
        <v>0.109</v>
      </c>
      <c r="E11" s="387">
        <v>0.104</v>
      </c>
      <c r="F11" s="387">
        <v>0.11700000000000001</v>
      </c>
      <c r="G11" s="388">
        <v>0.14899999999999999</v>
      </c>
    </row>
    <row r="12" spans="1:7" ht="16.5">
      <c r="A12" s="432" t="s">
        <v>383</v>
      </c>
      <c r="B12" s="432"/>
      <c r="C12" s="433"/>
      <c r="D12" s="433"/>
      <c r="E12" s="433"/>
      <c r="F12" s="433"/>
      <c r="G12" s="432"/>
    </row>
    <row r="13" spans="1:7" ht="16.5">
      <c r="A13" s="389" t="s">
        <v>10</v>
      </c>
      <c r="B13" s="389"/>
      <c r="C13" s="389"/>
      <c r="D13" s="389"/>
      <c r="E13" s="389"/>
      <c r="F13" s="389"/>
      <c r="G13" s="389"/>
    </row>
    <row r="14" spans="1:7" ht="16.5">
      <c r="A14" s="390"/>
      <c r="B14" s="389"/>
      <c r="C14" s="389"/>
      <c r="D14" s="389"/>
      <c r="E14" s="389"/>
      <c r="F14" s="389"/>
      <c r="G14" s="389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tabSelected="1" workbookViewId="0"/>
  </sheetViews>
  <sheetFormatPr defaultColWidth="8.85546875" defaultRowHeight="15"/>
  <cols>
    <col min="1" max="1" width="22.42578125" style="1" customWidth="1"/>
    <col min="2" max="2" width="45.42578125" style="1" customWidth="1"/>
    <col min="3" max="7" width="10.7109375" style="1" customWidth="1"/>
    <col min="8" max="8" width="8.42578125" style="1" customWidth="1"/>
    <col min="9" max="16384" width="8.85546875" style="1"/>
  </cols>
  <sheetData>
    <row r="1" spans="1:7" ht="15.75">
      <c r="A1" s="2" t="s">
        <v>384</v>
      </c>
      <c r="B1" s="3"/>
      <c r="C1" s="3"/>
      <c r="D1" s="3"/>
      <c r="E1" s="3"/>
      <c r="F1" s="3"/>
      <c r="G1" s="3"/>
    </row>
    <row r="2" spans="1:7" ht="15.75" thickBot="1">
      <c r="A2" s="520"/>
      <c r="B2" s="520"/>
      <c r="C2" s="520"/>
    </row>
    <row r="3" spans="1:7" ht="15.75" thickBot="1">
      <c r="A3" s="516" t="s">
        <v>260</v>
      </c>
      <c r="B3" s="517"/>
      <c r="C3" s="436">
        <v>2019</v>
      </c>
      <c r="D3" s="436">
        <v>2020</v>
      </c>
      <c r="E3" s="436">
        <v>2021</v>
      </c>
      <c r="F3" s="436">
        <v>2022</v>
      </c>
      <c r="G3" s="437" t="s">
        <v>14</v>
      </c>
    </row>
    <row r="4" spans="1:7">
      <c r="A4" s="518" t="s">
        <v>261</v>
      </c>
      <c r="B4" s="438" t="s">
        <v>385</v>
      </c>
      <c r="C4" s="439">
        <v>2171.6999999999998</v>
      </c>
      <c r="D4" s="439">
        <v>2232.5</v>
      </c>
      <c r="E4" s="439">
        <v>2108.1999999999998</v>
      </c>
      <c r="F4" s="439">
        <v>2118.9</v>
      </c>
      <c r="G4" s="440">
        <v>2142.6</v>
      </c>
    </row>
    <row r="5" spans="1:7">
      <c r="A5" s="518"/>
      <c r="B5" s="438" t="s">
        <v>386</v>
      </c>
      <c r="C5" s="441">
        <v>61.9</v>
      </c>
      <c r="D5" s="441">
        <v>71.099999999999994</v>
      </c>
      <c r="E5" s="441">
        <v>62.1</v>
      </c>
      <c r="F5" s="441">
        <v>64.2</v>
      </c>
      <c r="G5" s="442">
        <v>65.2</v>
      </c>
    </row>
    <row r="6" spans="1:7" ht="15.75" thickBot="1">
      <c r="A6" s="518"/>
      <c r="B6" s="438" t="s">
        <v>387</v>
      </c>
      <c r="C6" s="443">
        <v>46.2</v>
      </c>
      <c r="D6" s="443">
        <v>29.3</v>
      </c>
      <c r="E6" s="443">
        <v>30.3</v>
      </c>
      <c r="F6" s="443">
        <v>34.299999999999997</v>
      </c>
      <c r="G6" s="444">
        <v>36.299999999999997</v>
      </c>
    </row>
    <row r="7" spans="1:7">
      <c r="A7" s="518" t="s">
        <v>262</v>
      </c>
      <c r="B7" s="445" t="s">
        <v>388</v>
      </c>
      <c r="C7" s="446">
        <v>87.8</v>
      </c>
      <c r="D7" s="446">
        <v>88.6</v>
      </c>
      <c r="E7" s="446">
        <v>89.7</v>
      </c>
      <c r="F7" s="446">
        <v>87.5</v>
      </c>
      <c r="G7" s="447">
        <v>90.1</v>
      </c>
    </row>
    <row r="8" spans="1:7">
      <c r="A8" s="518"/>
      <c r="B8" s="445" t="s">
        <v>389</v>
      </c>
      <c r="C8" s="448">
        <v>86.5</v>
      </c>
      <c r="D8" s="448">
        <v>87.2</v>
      </c>
      <c r="E8" s="448">
        <v>88.2</v>
      </c>
      <c r="F8" s="448">
        <v>85.8</v>
      </c>
      <c r="G8" s="449">
        <v>88.8</v>
      </c>
    </row>
    <row r="9" spans="1:7">
      <c r="A9" s="519"/>
      <c r="B9" s="445" t="s">
        <v>390</v>
      </c>
      <c r="C9" s="448">
        <v>95.3</v>
      </c>
      <c r="D9" s="448">
        <v>97.3</v>
      </c>
      <c r="E9" s="448">
        <v>97.9</v>
      </c>
      <c r="F9" s="448">
        <v>97.4</v>
      </c>
      <c r="G9" s="449">
        <v>97.4</v>
      </c>
    </row>
    <row r="10" spans="1:7" ht="15.75" thickBot="1">
      <c r="A10" s="450"/>
      <c r="B10" s="445" t="s">
        <v>391</v>
      </c>
      <c r="C10" s="451">
        <v>79.900000000000006</v>
      </c>
      <c r="D10" s="451">
        <v>81.2</v>
      </c>
      <c r="E10" s="451">
        <v>97.2</v>
      </c>
      <c r="F10" s="451">
        <v>88.8</v>
      </c>
      <c r="G10" s="452">
        <v>90.2</v>
      </c>
    </row>
    <row r="11" spans="1:7">
      <c r="A11" s="453" t="s">
        <v>263</v>
      </c>
      <c r="B11" s="445" t="s">
        <v>388</v>
      </c>
      <c r="C11" s="446">
        <v>16.5</v>
      </c>
      <c r="D11" s="446">
        <v>14.5</v>
      </c>
      <c r="E11" s="446">
        <v>13.4</v>
      </c>
      <c r="F11" s="446">
        <v>14.5</v>
      </c>
      <c r="G11" s="447">
        <v>17.3</v>
      </c>
    </row>
    <row r="12" spans="1:7">
      <c r="A12" s="453"/>
      <c r="B12" s="445" t="s">
        <v>389</v>
      </c>
      <c r="C12" s="448">
        <v>18.600000000000001</v>
      </c>
      <c r="D12" s="448">
        <v>16.100000000000001</v>
      </c>
      <c r="E12" s="448">
        <v>15.2</v>
      </c>
      <c r="F12" s="448">
        <v>16.2</v>
      </c>
      <c r="G12" s="449">
        <v>19.7</v>
      </c>
    </row>
    <row r="13" spans="1:7">
      <c r="A13" s="453"/>
      <c r="B13" s="445" t="s">
        <v>392</v>
      </c>
      <c r="C13" s="441">
        <v>5.3</v>
      </c>
      <c r="D13" s="441">
        <v>4</v>
      </c>
      <c r="E13" s="441">
        <v>3.3</v>
      </c>
      <c r="F13" s="448">
        <v>4.0999999999999996</v>
      </c>
      <c r="G13" s="449">
        <v>3.8</v>
      </c>
    </row>
    <row r="14" spans="1:7" ht="15.75" thickBot="1">
      <c r="A14" s="453"/>
      <c r="B14" s="445" t="s">
        <v>391</v>
      </c>
      <c r="C14" s="443">
        <v>25.2</v>
      </c>
      <c r="D14" s="443">
        <v>23.3</v>
      </c>
      <c r="E14" s="443">
        <v>21.2</v>
      </c>
      <c r="F14" s="443">
        <v>15.5</v>
      </c>
      <c r="G14" s="444">
        <v>13.2</v>
      </c>
    </row>
    <row r="15" spans="1:7">
      <c r="A15" s="518" t="s">
        <v>264</v>
      </c>
      <c r="B15" s="445" t="s">
        <v>393</v>
      </c>
      <c r="C15" s="439">
        <v>1948.5</v>
      </c>
      <c r="D15" s="439">
        <v>2021.4</v>
      </c>
      <c r="E15" s="439">
        <v>1889.3</v>
      </c>
      <c r="F15" s="439">
        <v>1906</v>
      </c>
      <c r="G15" s="440">
        <v>1925.1</v>
      </c>
    </row>
    <row r="16" spans="1:7">
      <c r="A16" s="518"/>
      <c r="B16" s="445" t="s">
        <v>396</v>
      </c>
      <c r="C16" s="441">
        <v>1014.4</v>
      </c>
      <c r="D16" s="441">
        <v>1031.3</v>
      </c>
      <c r="E16" s="441">
        <v>1054.5999999999999</v>
      </c>
      <c r="F16" s="441">
        <v>1000.5</v>
      </c>
      <c r="G16" s="442">
        <v>1021.3</v>
      </c>
    </row>
    <row r="17" spans="1:7" ht="15.75" thickBot="1">
      <c r="A17" s="518"/>
      <c r="B17" s="445" t="s">
        <v>394</v>
      </c>
      <c r="C17" s="443">
        <v>223.2</v>
      </c>
      <c r="D17" s="443">
        <v>211.1</v>
      </c>
      <c r="E17" s="443">
        <v>218.9</v>
      </c>
      <c r="F17" s="443">
        <v>212.9</v>
      </c>
      <c r="G17" s="444">
        <v>217.5</v>
      </c>
    </row>
    <row r="18" spans="1:7" ht="15.75">
      <c r="A18" s="454" t="s">
        <v>174</v>
      </c>
      <c r="B18" s="455"/>
      <c r="C18" s="455"/>
      <c r="D18" s="456"/>
      <c r="E18" s="457"/>
      <c r="F18" s="457"/>
      <c r="G18" s="457"/>
    </row>
    <row r="19" spans="1:7" ht="16.5">
      <c r="A19" s="455" t="s">
        <v>397</v>
      </c>
      <c r="B19" s="455"/>
      <c r="C19" s="455"/>
      <c r="D19" s="455"/>
      <c r="E19" s="455"/>
      <c r="F19" s="455"/>
      <c r="G19" s="455"/>
    </row>
  </sheetData>
  <mergeCells count="5">
    <mergeCell ref="A3:B3"/>
    <mergeCell ref="A4:A6"/>
    <mergeCell ref="A7:A9"/>
    <mergeCell ref="A15:A17"/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</vt:i4>
      </vt:variant>
    </vt:vector>
  </HeadingPairs>
  <TitlesOfParts>
    <vt:vector size="23" baseType="lpstr">
      <vt:lpstr>Table 7.1</vt:lpstr>
      <vt:lpstr>Table 7.2</vt:lpstr>
      <vt:lpstr>Table 7.3</vt:lpstr>
      <vt:lpstr>Table 7.4</vt:lpstr>
      <vt:lpstr>Table 7.5</vt:lpstr>
      <vt:lpstr>Table 7.6</vt:lpstr>
      <vt:lpstr>Table 7.7</vt:lpstr>
      <vt:lpstr>Table 7.8</vt:lpstr>
      <vt:lpstr>Table 7.9</vt:lpstr>
      <vt:lpstr>Table 7.10</vt:lpstr>
      <vt:lpstr>Table 7.11</vt:lpstr>
      <vt:lpstr>Table 7.12</vt:lpstr>
      <vt:lpstr>Table 7.13</vt:lpstr>
      <vt:lpstr>Table 7.14</vt:lpstr>
      <vt:lpstr>Table 7.15</vt:lpstr>
      <vt:lpstr>Table 7.16</vt:lpstr>
      <vt:lpstr>Table 7.17</vt:lpstr>
      <vt:lpstr>Table 7.18</vt:lpstr>
      <vt:lpstr>Table 7.19</vt:lpstr>
      <vt:lpstr>Table 7.20</vt:lpstr>
      <vt:lpstr>Table 7.21</vt:lpstr>
      <vt:lpstr>Table 7.22</vt:lpstr>
      <vt:lpstr>'Table 7.22'!_MON_1459157629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ok</cp:lastModifiedBy>
  <dcterms:created xsi:type="dcterms:W3CDTF">2023-04-21T12:46:00Z</dcterms:created>
  <dcterms:modified xsi:type="dcterms:W3CDTF">2024-05-03T08:51:07Z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56A9BFD9130F42F08A59669129A6C5A1_12</vt:lpwstr>
  </property>
  <property fmtid="{D5CDD505-2E9C-101B-9397-08002B2CF9AE}" pid="3" name="KSOProductBuildVer">
    <vt:lpwstr>1033-12.2.0.13489</vt:lpwstr>
  </property>
</Properties>
</file>